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Immobilien" sheetId="1" state="visible" r:id="rId3"/>
    <sheet name="2_Darlehen" sheetId="2" state="visible" r:id="rId4"/>
    <sheet name="3_PV-Anlagen" sheetId="3" state="visible" r:id="rId5"/>
    <sheet name="4_Cashflow_Detail" sheetId="4" state="visible" r:id="rId6"/>
    <sheet name="5_AfA_Steuer" sheetId="5" state="visible" r:id="rId7"/>
    <sheet name="6_Liquiditaet" sheetId="6" state="visible" r:id="rId8"/>
    <sheet name="7_Zinssensitivitaet" sheetId="7" state="visible" r:id="rId9"/>
    <sheet name="8_Tilgungsprognose" sheetId="8" state="visible" r:id="rId10"/>
    <sheet name="9_BSV_Tilgungsersatz" sheetId="9" state="visible" r:id="rId11"/>
    <sheet name="10_Dashboar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<sst xmlns="http://schemas.openxmlformats.org/spreadsheetml/2006/main" count="605" uniqueCount="357">
  <si>
    <t xml:space="preserve">Eigentümer</t>
  </si>
  <si>
    <t xml:space="preserve">Anteil %</t>
  </si>
  <si>
    <t xml:space="preserve">Objekt-ID</t>
  </si>
  <si>
    <t xml:space="preserve">Adresse</t>
  </si>
  <si>
    <t xml:space="preserve">PLZ</t>
  </si>
  <si>
    <t xml:space="preserve">Ort</t>
  </si>
  <si>
    <t xml:space="preserve">WE</t>
  </si>
  <si>
    <t xml:space="preserve">m²</t>
  </si>
  <si>
    <t xml:space="preserve">Kaltmiete/Mon</t>
  </si>
  <si>
    <t xml:space="preserve">NK/Mon</t>
  </si>
  <si>
    <t xml:space="preserve">Verkehrswert</t>
  </si>
  <si>
    <t xml:space="preserve">Kaufpreis</t>
  </si>
  <si>
    <t xml:space="preserve">Kaufjahr</t>
  </si>
  <si>
    <t xml:space="preserve">EK eingesetzt</t>
  </si>
  <si>
    <t xml:space="preserve">Status</t>
  </si>
  <si>
    <t xml:space="preserve">Marktmiete/m²</t>
  </si>
  <si>
    <t xml:space="preserve">Jahres-Kaltmiete</t>
  </si>
  <si>
    <t xml:space="preserve">Brutto-Rendite</t>
  </si>
  <si>
    <t xml:space="preserve">Miete anteilig</t>
  </si>
  <si>
    <t xml:space="preserve">Wert anteilig</t>
  </si>
  <si>
    <t xml:space="preserve">EK anteilig</t>
  </si>
  <si>
    <t xml:space="preserve">Mietpotenzial/Mon</t>
  </si>
  <si>
    <t xml:space="preserve">Instandh.rücklage/Mon</t>
  </si>
  <si>
    <t xml:space="preserve">Felix Wanner</t>
  </si>
  <si>
    <t xml:space="preserve">1001_001</t>
  </si>
  <si>
    <t xml:space="preserve">Gmünder Straße 11</t>
  </si>
  <si>
    <t xml:space="preserve">Heubach</t>
  </si>
  <si>
    <t xml:space="preserve">Vermietet</t>
  </si>
  <si>
    <t xml:space="preserve">1001_002</t>
  </si>
  <si>
    <t xml:space="preserve">Eutighofer Straße 22</t>
  </si>
  <si>
    <t xml:space="preserve">Schwäbisch Gmünd</t>
  </si>
  <si>
    <t xml:space="preserve">1 Leerstand</t>
  </si>
  <si>
    <t xml:space="preserve">1001_003</t>
  </si>
  <si>
    <t xml:space="preserve">Jakob-Uhlmann-Str. 6 EG</t>
  </si>
  <si>
    <t xml:space="preserve">1001_004</t>
  </si>
  <si>
    <t xml:space="preserve">Jakob-Uhlmann-Str. 6 DG</t>
  </si>
  <si>
    <t xml:space="preserve">1001_005</t>
  </si>
  <si>
    <t xml:space="preserve">Schillerstraße 1</t>
  </si>
  <si>
    <t xml:space="preserve">1001_006</t>
  </si>
  <si>
    <t xml:space="preserve">Rembrandtweg 8 Wng. 23</t>
  </si>
  <si>
    <t xml:space="preserve">Heidenheim</t>
  </si>
  <si>
    <t xml:space="preserve">1001_007</t>
  </si>
  <si>
    <t xml:space="preserve">Rembrandtweg 8 Wng. 24</t>
  </si>
  <si>
    <t xml:space="preserve">1001_008</t>
  </si>
  <si>
    <t xml:space="preserve">Rembrandtweg 8 Wng. 32</t>
  </si>
  <si>
    <t xml:space="preserve">1001_009</t>
  </si>
  <si>
    <t xml:space="preserve">Oberbettringer Str. 73/1</t>
  </si>
  <si>
    <t xml:space="preserve">Leerstand</t>
  </si>
  <si>
    <t xml:space="preserve">FW + JW</t>
  </si>
  <si>
    <t xml:space="preserve">1001_010</t>
  </si>
  <si>
    <t xml:space="preserve">Kirchplatz 8 (Eigenheim)</t>
  </si>
  <si>
    <t xml:space="preserve">Mögglingen</t>
  </si>
  <si>
    <t xml:space="preserve">Eigennutz</t>
  </si>
  <si>
    <t xml:space="preserve">Jasmin Wanner</t>
  </si>
  <si>
    <t xml:space="preserve">1005_001</t>
  </si>
  <si>
    <t xml:space="preserve">Steinertgasse 5B Wng. 51</t>
  </si>
  <si>
    <t xml:space="preserve">Aalen</t>
  </si>
  <si>
    <t xml:space="preserve">FW+SK eGbR</t>
  </si>
  <si>
    <t xml:space="preserve">1003_001</t>
  </si>
  <si>
    <t xml:space="preserve">Stauffenbergstraße 30</t>
  </si>
  <si>
    <t xml:space="preserve">1003_002</t>
  </si>
  <si>
    <t xml:space="preserve">Stauffenbergstraße 33</t>
  </si>
  <si>
    <t xml:space="preserve">WK II eGbR</t>
  </si>
  <si>
    <t xml:space="preserve">1004_001</t>
  </si>
  <si>
    <t xml:space="preserve">Silcherstraße 4 Wng. 8</t>
  </si>
  <si>
    <t xml:space="preserve">1004_002</t>
  </si>
  <si>
    <t xml:space="preserve">Silcherstraße 4 Wng. 7</t>
  </si>
  <si>
    <t xml:space="preserve">1004_003</t>
  </si>
  <si>
    <t xml:space="preserve">Silcherstraße 2 Wng. 10</t>
  </si>
  <si>
    <t xml:space="preserve">1004_004-008</t>
  </si>
  <si>
    <t xml:space="preserve">Stauffenbergring 28 (5 WE)</t>
  </si>
  <si>
    <t xml:space="preserve">Ellwangen</t>
  </si>
  <si>
    <t xml:space="preserve">SUMME (anteilig)</t>
  </si>
  <si>
    <t xml:space="preserve">Objekt</t>
  </si>
  <si>
    <t xml:space="preserve">Bank</t>
  </si>
  <si>
    <t xml:space="preserve">IBAN/Konto</t>
  </si>
  <si>
    <t xml:space="preserve">Beginn</t>
  </si>
  <si>
    <t xml:space="preserve">Ursprung</t>
  </si>
  <si>
    <t xml:space="preserve">Saldo aktuell</t>
  </si>
  <si>
    <t xml:space="preserve">Rate/Mon</t>
  </si>
  <si>
    <t xml:space="preserve">Zins %</t>
  </si>
  <si>
    <t xml:space="preserve">Ende Zinsbind.</t>
  </si>
  <si>
    <t xml:space="preserve">Getilgt</t>
  </si>
  <si>
    <t xml:space="preserve">Tilg.quote %</t>
  </si>
  <si>
    <t xml:space="preserve">Zinsaufw./Jahr</t>
  </si>
  <si>
    <t xml:space="preserve">Saldo anteilig</t>
  </si>
  <si>
    <t xml:space="preserve">Rate anteilig</t>
  </si>
  <si>
    <t xml:space="preserve">Bemerkung</t>
  </si>
  <si>
    <t xml:space="preserve">Gmünder Str. 11</t>
  </si>
  <si>
    <t xml:space="preserve">Raiba Rosenstein</t>
  </si>
  <si>
    <t xml:space="preserve">DE90 6136 1722 0087 2592 06</t>
  </si>
  <si>
    <t xml:space="preserve">01.11.2015</t>
  </si>
  <si>
    <t xml:space="preserve">30.11.2025</t>
  </si>
  <si>
    <t xml:space="preserve">DE27 6136 1722 0087 2592 73</t>
  </si>
  <si>
    <t xml:space="preserve">01.09.2019</t>
  </si>
  <si>
    <t xml:space="preserve">30.09.2029</t>
  </si>
  <si>
    <t xml:space="preserve">Tilgungsersatz UnionDepot</t>
  </si>
  <si>
    <t xml:space="preserve">MünchenerHyp</t>
  </si>
  <si>
    <t xml:space="preserve">1131802400</t>
  </si>
  <si>
    <t xml:space="preserve">31.12.2040</t>
  </si>
  <si>
    <t xml:space="preserve">Eutighofer Str. 22</t>
  </si>
  <si>
    <t xml:space="preserve">DE49 6136 1722 0087 2592 65</t>
  </si>
  <si>
    <t xml:space="preserve">01.08.2016</t>
  </si>
  <si>
    <t xml:space="preserve">30.08.2026</t>
  </si>
  <si>
    <t xml:space="preserve">DE05 6136 1722 0087 2592 81</t>
  </si>
  <si>
    <t xml:space="preserve">01.11.2016</t>
  </si>
  <si>
    <t xml:space="preserve">30.11.2026</t>
  </si>
  <si>
    <t xml:space="preserve">1133479400</t>
  </si>
  <si>
    <t xml:space="preserve">31.08.2046</t>
  </si>
  <si>
    <t xml:space="preserve">KSK Ostalb</t>
  </si>
  <si>
    <t xml:space="preserve">DE03 6145 0050 6241 1072 92</t>
  </si>
  <si>
    <t xml:space="preserve">01.01.2020</t>
  </si>
  <si>
    <t xml:space="preserve">01.01.2030</t>
  </si>
  <si>
    <t xml:space="preserve">Jakob-Uhlmann 6 EG</t>
  </si>
  <si>
    <t xml:space="preserve">DE84 6145 0050 6241 1639 37</t>
  </si>
  <si>
    <t xml:space="preserve">01.07.2020</t>
  </si>
  <si>
    <t xml:space="preserve">01.07.2030</t>
  </si>
  <si>
    <t xml:space="preserve">Jakob-Uhlmann 6 DG</t>
  </si>
  <si>
    <t xml:space="preserve">DE46 6136 1722 0087 2592 22</t>
  </si>
  <si>
    <t xml:space="preserve">01.06.2022</t>
  </si>
  <si>
    <t xml:space="preserve">30.06.2026</t>
  </si>
  <si>
    <t xml:space="preserve">BSV Schwäb. Hall</t>
  </si>
  <si>
    <t xml:space="preserve">24402962J01</t>
  </si>
  <si>
    <t xml:space="preserve">BSV Guthaben: 10.544,68€</t>
  </si>
  <si>
    <t xml:space="preserve">DE24 6136 1722 0087 2592 30</t>
  </si>
  <si>
    <t xml:space="preserve">24402962J02</t>
  </si>
  <si>
    <t xml:space="preserve">BSV Guthaben: 10.009,80€</t>
  </si>
  <si>
    <t xml:space="preserve">Rembrandtweg 8 (3 WE)</t>
  </si>
  <si>
    <t xml:space="preserve">DE93 6136 1722 0087 2592 49</t>
  </si>
  <si>
    <t xml:space="preserve">01.07.2016</t>
  </si>
  <si>
    <t xml:space="preserve">30.07.2026</t>
  </si>
  <si>
    <t xml:space="preserve">DE53 6136 1722 0087 2592 90</t>
  </si>
  <si>
    <t xml:space="preserve">1133198400</t>
  </si>
  <si>
    <t xml:space="preserve">30.06.2041</t>
  </si>
  <si>
    <t xml:space="preserve">DE38 6136 1722 0092 2632 08</t>
  </si>
  <si>
    <t xml:space="preserve">01.03.2021</t>
  </si>
  <si>
    <t xml:space="preserve">30.03.2031</t>
  </si>
  <si>
    <t xml:space="preserve">1143452400</t>
  </si>
  <si>
    <t xml:space="preserve">28.02.2051</t>
  </si>
  <si>
    <t xml:space="preserve">Steinertgasse 5B</t>
  </si>
  <si>
    <t xml:space="preserve">DE74 6136 1722 0090 2372 00</t>
  </si>
  <si>
    <t xml:space="preserve">01.05.2017</t>
  </si>
  <si>
    <t xml:space="preserve">30.04.2027</t>
  </si>
  <si>
    <t xml:space="preserve">Stauffenbergstr. 30</t>
  </si>
  <si>
    <t xml:space="preserve">DE32 6136 1722 0090 1972 16</t>
  </si>
  <si>
    <t xml:space="preserve">27.04.2017</t>
  </si>
  <si>
    <t xml:space="preserve">30.03.2027</t>
  </si>
  <si>
    <t xml:space="preserve">Stauffenbergstr. 33</t>
  </si>
  <si>
    <t xml:space="preserve">DE54 6136 1722 0090 1972 08</t>
  </si>
  <si>
    <t xml:space="preserve">Stauffenbergstr. 30+33</t>
  </si>
  <si>
    <t xml:space="preserve">DE85 6136 1722 0090 1972 32</t>
  </si>
  <si>
    <t xml:space="preserve">03.07.2020</t>
  </si>
  <si>
    <t xml:space="preserve">30.06.2027</t>
  </si>
  <si>
    <t xml:space="preserve">Sanierung</t>
  </si>
  <si>
    <t xml:space="preserve">Silcherstr. 4 Wng. 8</t>
  </si>
  <si>
    <t xml:space="preserve">DE91 6136 1722 0097 7562 37</t>
  </si>
  <si>
    <t xml:space="preserve">20.12.2022</t>
  </si>
  <si>
    <t xml:space="preserve">15.12.2032</t>
  </si>
  <si>
    <t xml:space="preserve">Silcherstr. 4 Wng. 7</t>
  </si>
  <si>
    <t xml:space="preserve">DE16 6136 1722 0097 7562 29</t>
  </si>
  <si>
    <t xml:space="preserve">Stauffenbergring 28</t>
  </si>
  <si>
    <t xml:space="preserve">DE66 6136 1722 0097 7562 02</t>
  </si>
  <si>
    <t xml:space="preserve">29.10.2024</t>
  </si>
  <si>
    <t xml:space="preserve">30.11.2034</t>
  </si>
  <si>
    <t xml:space="preserve">Tilgungsfrei bis 31.07.2026</t>
  </si>
  <si>
    <t xml:space="preserve">Standort</t>
  </si>
  <si>
    <t xml:space="preserve">kWp</t>
  </si>
  <si>
    <t xml:space="preserve">Inbetriebnahme</t>
  </si>
  <si>
    <t xml:space="preserve">IBAN</t>
  </si>
  <si>
    <t xml:space="preserve">Ursprung Darl.</t>
  </si>
  <si>
    <t xml:space="preserve">Einnahmen/Mon</t>
  </si>
  <si>
    <t xml:space="preserve">Aktueller Wert</t>
  </si>
  <si>
    <t xml:space="preserve">Cashflow/Mon</t>
  </si>
  <si>
    <t xml:space="preserve">Cashflow/Jahr</t>
  </si>
  <si>
    <t xml:space="preserve">Einnahmen anteilig</t>
  </si>
  <si>
    <t xml:space="preserve">Milchstraße, Stade</t>
  </si>
  <si>
    <t xml:space="preserve">02/2020</t>
  </si>
  <si>
    <t xml:space="preserve">VB Südwestfalen</t>
  </si>
  <si>
    <t xml:space="preserve">DE53 4476 1534 0016 1701 22</t>
  </si>
  <si>
    <t xml:space="preserve">28.02.2030</t>
  </si>
  <si>
    <t xml:space="preserve">Tilgungsersatz R+V ca. 158.000€</t>
  </si>
  <si>
    <t xml:space="preserve">Wanner PV I GbR</t>
  </si>
  <si>
    <t xml:space="preserve">Ackerköpfe 26, Mehrum</t>
  </si>
  <si>
    <t xml:space="preserve">12/2023</t>
  </si>
  <si>
    <t xml:space="preserve">DE56 6136 1722 0099 2362 14</t>
  </si>
  <si>
    <t xml:space="preserve">01.12.2033</t>
  </si>
  <si>
    <t xml:space="preserve">Grüner Weg, Rastede</t>
  </si>
  <si>
    <t xml:space="preserve">11/2024</t>
  </si>
  <si>
    <t xml:space="preserve">VB Franken</t>
  </si>
  <si>
    <t xml:space="preserve">DE03 6746 1424 3312 9470 04</t>
  </si>
  <si>
    <t xml:space="preserve">Darlehensraten/Mon</t>
  </si>
  <si>
    <t xml:space="preserve">Netto-Cashflow/Mon</t>
  </si>
  <si>
    <t xml:space="preserve">Netto-Cashflow/Jahr</t>
  </si>
  <si>
    <t xml:space="preserve">Cashflow anteilig/Mon</t>
  </si>
  <si>
    <t xml:space="preserve">Cashflow anteilig/Jahr</t>
  </si>
  <si>
    <t xml:space="preserve">EK-Rendite (geschätzt)</t>
  </si>
  <si>
    <t xml:space="preserve">Steinertgasse 5B (JW)</t>
  </si>
  <si>
    <t xml:space="preserve">Stauffenbergstr. 30+33 Sanierung</t>
  </si>
  <si>
    <t xml:space="preserve">-</t>
  </si>
  <si>
    <t xml:space="preserve">Silcherstr. 2 Wng. 10</t>
  </si>
  <si>
    <t xml:space="preserve">STEUERLICHE ÜBERSICHT - AfA und Zinsaufwand</t>
  </si>
  <si>
    <t xml:space="preserve">Kaufpreis (anteilig)</t>
  </si>
  <si>
    <t xml:space="preserve">Gebäudeanteil %</t>
  </si>
  <si>
    <t xml:space="preserve">AfA-Satz %</t>
  </si>
  <si>
    <t xml:space="preserve">Restnutzungsdauer</t>
  </si>
  <si>
    <t xml:space="preserve">AfA/Jahr</t>
  </si>
  <si>
    <t xml:space="preserve">Kum. AfA bis 2026</t>
  </si>
  <si>
    <t xml:space="preserve">Stauffenbergstr. 30 (50%)</t>
  </si>
  <si>
    <t xml:space="preserve">Stauffenbergstr. 33 (50%)</t>
  </si>
  <si>
    <t xml:space="preserve">Silcherstr. 4 Wng. 8 (50%)</t>
  </si>
  <si>
    <t xml:space="preserve">Silcherstr. 4 Wng. 7 (50%)</t>
  </si>
  <si>
    <t xml:space="preserve">Stauffenbergring 28 (50%)</t>
  </si>
  <si>
    <t xml:space="preserve">SUMME</t>
  </si>
  <si>
    <t xml:space="preserve">ZINSAUFWAND (für Steuererklärung)</t>
  </si>
  <si>
    <t xml:space="preserve">Jährlicher Zinsaufwand Immobilien (anteilig):</t>
  </si>
  <si>
    <t xml:space="preserve">Jährliche AfA gesamt:</t>
  </si>
  <si>
    <t xml:space="preserve">Steuerliche Absetzungen gesamt:</t>
  </si>
  <si>
    <t xml:space="preserve">LIQUIDITÄTSÜBERSICHT - Stand 22.01.2026</t>
  </si>
  <si>
    <t xml:space="preserve">Kontotyp</t>
  </si>
  <si>
    <t xml:space="preserve">Kontoinhaber</t>
  </si>
  <si>
    <t xml:space="preserve">Saldo</t>
  </si>
  <si>
    <t xml:space="preserve">Girokonto</t>
  </si>
  <si>
    <t xml:space="preserve">DE11 6145 0050 0805 3935 03</t>
  </si>
  <si>
    <t xml:space="preserve">DE85 6145 0050 1000 1667 16</t>
  </si>
  <si>
    <t xml:space="preserve">DE05 6145 0050 1001 2152 71</t>
  </si>
  <si>
    <t xml:space="preserve">Geldmarktkonto</t>
  </si>
  <si>
    <t xml:space="preserve">DE87 6145 0050 1100 3364 46</t>
  </si>
  <si>
    <t xml:space="preserve">DE15 6145 0050 1100 3390 03</t>
  </si>
  <si>
    <t xml:space="preserve">ING</t>
  </si>
  <si>
    <t xml:space="preserve">DE84 5001 0517 5415 3766 66</t>
  </si>
  <si>
    <t xml:space="preserve">Felix Otto Wanner</t>
  </si>
  <si>
    <t xml:space="preserve">N26</t>
  </si>
  <si>
    <t xml:space="preserve">Hauptkonto</t>
  </si>
  <si>
    <t xml:space="preserve">DE20 1001 1001 2620 0670 36</t>
  </si>
  <si>
    <t xml:space="preserve">Kontokorrent</t>
  </si>
  <si>
    <t xml:space="preserve">DE96 6136 1722 0087 2590 01</t>
  </si>
  <si>
    <t xml:space="preserve">DE46 6136 1722 0087 2590 28</t>
  </si>
  <si>
    <t xml:space="preserve">DE24 6136 1722 0087 2590 36</t>
  </si>
  <si>
    <t xml:space="preserve">DE02 6136 1722 0087 2590 44</t>
  </si>
  <si>
    <t xml:space="preserve">DE77 6136 1722 0087 2590 52</t>
  </si>
  <si>
    <t xml:space="preserve">Tagesgeld</t>
  </si>
  <si>
    <t xml:space="preserve">DE84 6136 1722 0087 2596 05</t>
  </si>
  <si>
    <t xml:space="preserve">Sparkonto</t>
  </si>
  <si>
    <t xml:space="preserve">DE90 6136 1722 0087 2594 00</t>
  </si>
  <si>
    <t xml:space="preserve">DE04 6136 1722 0090 2370 05</t>
  </si>
  <si>
    <t xml:space="preserve">DE44 6136 1722 0092 2630 03</t>
  </si>
  <si>
    <t xml:space="preserve">Felix + Jasmin</t>
  </si>
  <si>
    <t xml:space="preserve">DE80 6136 1722 0094 8570 08</t>
  </si>
  <si>
    <t xml:space="preserve">Ostalb FM UG</t>
  </si>
  <si>
    <t xml:space="preserve">DE58 6136 1722 0094 8570 16</t>
  </si>
  <si>
    <t xml:space="preserve">DE66 6136 1722 0097 7560 08</t>
  </si>
  <si>
    <t xml:space="preserve">DE84 6136 1722 0099 2360 01</t>
  </si>
  <si>
    <t xml:space="preserve">Kontokorrent PV</t>
  </si>
  <si>
    <t xml:space="preserve">DE65 4476 1534 0016 1701 00</t>
  </si>
  <si>
    <t xml:space="preserve">SUMME LIQUIDE MITTEL</t>
  </si>
  <si>
    <t xml:space="preserve">WEITERE VERMÖGENSWERTE (aus Bankübersicht)</t>
  </si>
  <si>
    <t xml:space="preserve">Union Investment Depot</t>
  </si>
  <si>
    <t xml:space="preserve">10194709</t>
  </si>
  <si>
    <t xml:space="preserve">Schwäbisch Hall BSV</t>
  </si>
  <si>
    <t xml:space="preserve">24402962J04</t>
  </si>
  <si>
    <t xml:space="preserve">SUMME Depot/BSV</t>
  </si>
  <si>
    <t xml:space="preserve">MONATLICHER LIQUIDITÄTSBEDARF</t>
  </si>
  <si>
    <t xml:space="preserve">Darlehensraten Immobilien (anteilig):</t>
  </si>
  <si>
    <t xml:space="preserve">Darlehensraten PV (anteilig):</t>
  </si>
  <si>
    <t xml:space="preserve">Instandhaltungsrücklage:</t>
  </si>
  <si>
    <t xml:space="preserve">GESAMT Ausgaben/Monat:</t>
  </si>
  <si>
    <t xml:space="preserve">Mieteinnahmen (anteilig):</t>
  </si>
  <si>
    <t xml:space="preserve">PV-Einnahmen (anteilig):</t>
  </si>
  <si>
    <t xml:space="preserve">GESAMT Einnahmen/Monat:</t>
  </si>
  <si>
    <t xml:space="preserve">NETTO-LIQUIDITÄT/Monat:</t>
  </si>
  <si>
    <t xml:space="preserve">ZINSSENSITIVITÄTS-ANALYSE - Refinanzierungsszenarien</t>
  </si>
  <si>
    <t xml:space="preserve">Restschuld</t>
  </si>
  <si>
    <t xml:space="preserve">Aktueller Zins</t>
  </si>
  <si>
    <t xml:space="preserve">Aktuelle Rate</t>
  </si>
  <si>
    <t xml:space="preserve">Rate bei 3%</t>
  </si>
  <si>
    <t xml:space="preserve">Rate bei 4%</t>
  </si>
  <si>
    <t xml:space="preserve">Rate bei 5%</t>
  </si>
  <si>
    <t xml:space="preserve">Mehrkosten 4% vs. aktuell</t>
  </si>
  <si>
    <t xml:space="preserve">Gmünder Str. 11 (Raiba)</t>
  </si>
  <si>
    <t xml:space="preserve">Jakob-Uhlmann 6 DG (Raiba)</t>
  </si>
  <si>
    <t xml:space="preserve">Jakob-Uhlmann 6 DG (BSV)</t>
  </si>
  <si>
    <t xml:space="preserve">Schillerstraße 1 (Raiba)</t>
  </si>
  <si>
    <t xml:space="preserve">Schillerstraße 1 (BSV)</t>
  </si>
  <si>
    <t xml:space="preserve">Rembrandtweg 8 (Raiba 1)</t>
  </si>
  <si>
    <t xml:space="preserve">Eutighofer Str. 22 (Raiba 1)</t>
  </si>
  <si>
    <t xml:space="preserve">Eutighofer Str. 22 (Raiba 2)</t>
  </si>
  <si>
    <t xml:space="preserve">Rembrandtweg 8 (Raiba 2)</t>
  </si>
  <si>
    <t xml:space="preserve">Stauffenbergstr. 30+33 (50%)</t>
  </si>
  <si>
    <t xml:space="preserve">ZUSAMMENFASSUNG ZINSRISIKO</t>
  </si>
  <si>
    <t xml:space="preserve">Refinanzierungsvolumen 2025-2027:</t>
  </si>
  <si>
    <t xml:space="preserve">Aktuelle Ratenbelastung/Monat:</t>
  </si>
  <si>
    <t xml:space="preserve">Rate bei 4% Refinanzierung/Monat:</t>
  </si>
  <si>
    <t xml:space="preserve">JÄHRLICHE MEHRKOSTEN bei 4%:</t>
  </si>
  <si>
    <t xml:space="preserve">TILGUNGSPROGNOSE - Schuldenentwicklung 2026-2036</t>
  </si>
  <si>
    <t xml:space="preserve">Jahr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</si>
  <si>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</si>
  <si>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</si>
  <si>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</si>
  <si>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</si>
  <si>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</si>
  <si>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</si>
  <si>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</si>
  <si>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</si>
  <si>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</si>
  <si>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</si>
  <si>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</si>
  <si>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Schulden Immobilien</t>
  </si>
  <si>
    <t xml:space="preserve">Schulden PV</t>
  </si>
  <si>
    <t xml:space="preserve">Schulden Gesamt</t>
  </si>
  <si>
    <t xml:space="preserve">Eigenkapital (geschätzt)</t>
  </si>
  <si>
    <t xml:space="preserve">BAUSPARVERTRÄGE &amp; TILGUNGSERSATZPRODUKTE</t>
  </si>
  <si>
    <t xml:space="preserve">Produkt</t>
  </si>
  <si>
    <t xml:space="preserve">Vertragsnummer</t>
  </si>
  <si>
    <t xml:space="preserve">Zugeordnetes Darlehen</t>
  </si>
  <si>
    <t xml:space="preserve">Aktuelles Guthaben</t>
  </si>
  <si>
    <t xml:space="preserve">Sparrate/Mon</t>
  </si>
  <si>
    <t xml:space="preserve">Zielkapital</t>
  </si>
  <si>
    <t xml:space="preserve">Erreichungsgrad</t>
  </si>
  <si>
    <t xml:space="preserve">Schwäbisch Hall BSV Sparphase</t>
  </si>
  <si>
    <t xml:space="preserve">Gmünder Str. 11 (100k)</t>
  </si>
  <si>
    <t xml:space="preserve">R+V Fondspolice</t>
  </si>
  <si>
    <t xml:space="preserve">07/055034516</t>
  </si>
  <si>
    <t xml:space="preserve">PV Stade (344k)</t>
  </si>
  <si>
    <t xml:space="preserve">INVESTOREN-DASHBOARD</t>
  </si>
  <si>
    <t xml:space="preserve">Stand: 22.01.2026</t>
  </si>
  <si>
    <t xml:space="preserve">VERMÖGENSÜBERSICHT</t>
  </si>
  <si>
    <t xml:space="preserve">Verkehrswert Immobilien (anteilig):</t>
  </si>
  <si>
    <t xml:space="preserve">Wert PV-Anlagen (anteilig):</t>
  </si>
  <si>
    <t xml:space="preserve">Liquide Mittel:</t>
  </si>
  <si>
    <t xml:space="preserve">Depot/BSV/Fonds:</t>
  </si>
  <si>
    <t xml:space="preserve">GESAMTVERMÖGEN:</t>
  </si>
  <si>
    <t xml:space="preserve">SCHULDENÜBERSICHT</t>
  </si>
  <si>
    <t xml:space="preserve">Darlehen Immobilien (anteilig):</t>
  </si>
  <si>
    <t xml:space="preserve">Darlehen PV (anteilig):</t>
  </si>
  <si>
    <t xml:space="preserve">GESAMTSCHULDEN:</t>
  </si>
  <si>
    <t xml:space="preserve">NETTOVERMÖGEN (EIGENKAPITAL):</t>
  </si>
  <si>
    <t xml:space="preserve">WICHTIGE KENNZAHLEN</t>
  </si>
  <si>
    <t xml:space="preserve">Loan-to-Value (LTV):</t>
  </si>
  <si>
    <t xml:space="preserve">Eigenkapitalquote:</t>
  </si>
  <si>
    <t xml:space="preserve">Brutto-Mietrendite Immobilien:</t>
  </si>
  <si>
    <t xml:space="preserve">Anzahl Wohneinheiten (anteilig):</t>
  </si>
  <si>
    <t xml:space="preserve">Wohnfläche m² (anteilig):</t>
  </si>
  <si>
    <t xml:space="preserve">PV-Leistung kWp (anteilig):</t>
  </si>
  <si>
    <t xml:space="preserve">MONATLICHER CASHFLOW</t>
  </si>
  <si>
    <t xml:space="preserve">Darlehensraten Immobilien:</t>
  </si>
  <si>
    <t xml:space="preserve">Darlehensraten PV:</t>
  </si>
  <si>
    <t xml:space="preserve">NETTO-CASHFLOW/MONAT:</t>
  </si>
  <si>
    <t xml:space="preserve">NETTO-CASHFLOW/JAHR:</t>
  </si>
  <si>
    <t xml:space="preserve">STEUERLICHE ABSETZUNGEN/JAHR</t>
  </si>
  <si>
    <t xml:space="preserve">AfA Immobilien:</t>
  </si>
  <si>
    <t xml:space="preserve">Zinsaufwand:</t>
  </si>
  <si>
    <t xml:space="preserve">GESAMT steuerlich absetzbar:</t>
  </si>
  <si>
    <t xml:space="preserve">RISIKO-HINWEISE</t>
  </si>
  <si>
    <t xml:space="preserve">Mehrkosten bei 4% Refinanzierung/Jahr:</t>
  </si>
  <si>
    <t xml:space="preserve">Mietpotenzial/Monat (nicht ausgeschöpft):</t>
  </si>
  <si>
    <t xml:space="preserve">Leerstand aktuell:</t>
  </si>
  <si>
    <t xml:space="preserve">3 WE (Eutighofer, Oberbettringer, Stauffenbergstr.)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</si>
</sst>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%"/>
    <numFmt numFmtId="166" formatCode="General"/>
    <numFmt numFmtId="167" formatCode="#,##0.00&quot; €&quot;"/>
    <numFmt numFmtId="168" formatCode="[$$-409]#,##0.00;[RED]\-[$$-409]#,##0.00"/>
    <numFmt numFmtId="169" formatCode="#,##0&quot; €&quot;"/>
    <numFmt numFmtId="170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color rgb="FFFF0000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2"/>
      <name val="Cambria"/>
      <family val="0"/>
      <charset val="1"/>
    </font>
    <font>
      <sz val="11"/>
      <color rgb="FF008000"/>
      <name val="Cambria"/>
      <family val="0"/>
      <charset val="1"/>
    </font>
    <font>
      <b val="true"/>
      <sz val="18"/>
      <name val="Cambria"/>
      <family val="0"/>
      <charset val="1"/>
    </font>
    <font>
      <b val="true"/>
      <sz val="12"/>
      <color rgb="FFFF0000"/>
      <name val="Cambria"/>
      <family val="0"/>
      <charset val="1"/>
    </font>
    <font>
      <b val="true"/>
      <sz val="14"/>
      <color rgb="FF008000"/>
      <name val="Cambria"/>
      <family val="0"/>
      <charset val="1"/>
    </font>
    <font>
      <sz val="11"/>
      <color rgb="FFFF0000"/>
      <name val="Cambria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D6DCE4"/>
      </patternFill>
    </fill>
    <fill>
      <patternFill patternType="solid">
        <fgColor rgb="FFD6DCE4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rgb="FFC6EFCE"/>
        <bgColor rgb="FFD6DCE4"/>
      </patternFill>
    </fill>
    <fill>
      <patternFill patternType="solid">
        <fgColor rgb="FFFF6B6B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6B6B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28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5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12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7" min="16" style="0" width="14"/>
    <col collapsed="false" customWidth="true" hidden="false" outlineLevel="0" max="21" min="18" style="0" width="12"/>
    <col collapsed="false" customWidth="true" hidden="false" outlineLevel="0" max="22" min="22" style="0" width="14"/>
    <col collapsed="false" customWidth="true" hidden="false" outlineLevel="0" max="23" min="23" style="0" width="1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0" t="s">
        <v>23</v>
      </c>
      <c r="B2" s="0" t="n">
        <v>100</v>
      </c>
      <c r="C2" s="0" t="s">
        <v>24</v>
      </c>
      <c r="D2" s="0" t="s">
        <v>25</v>
      </c>
      <c r="E2" s="0" t="n">
        <v>73540</v>
      </c>
      <c r="F2" s="0" t="s">
        <v>26</v>
      </c>
      <c r="G2" s="0" t="n">
        <v>3</v>
      </c>
      <c r="H2" s="0" t="n">
        <v>245</v>
      </c>
      <c r="I2" s="0" t="n">
        <v>2433</v>
      </c>
      <c r="J2" s="0" t="n">
        <v>548</v>
      </c>
      <c r="K2" s="0" t="n">
        <v>583920</v>
      </c>
      <c r="L2" s="0" t="n">
        <v>380000</v>
      </c>
      <c r="M2" s="0" t="n">
        <v>2015</v>
      </c>
      <c r="N2" s="0" t="n">
        <v>95000</v>
      </c>
      <c r="O2" s="0" t="s">
        <v>27</v>
      </c>
      <c r="P2" s="0" t="n">
        <v>10.5</v>
      </c>
      <c r="Q2" s="0" t="n">
        <f aca="false">I2*12</f>
        <v>29196</v>
      </c>
      <c r="R2" s="2" t="n">
        <f aca="false">IF(K2&gt;0,Q2/K2,0)</f>
        <v>0.05</v>
      </c>
      <c r="S2" s="3" t="n">
        <f aca="false">I2*B2/100</f>
        <v>2433</v>
      </c>
      <c r="T2" s="3" t="n">
        <f aca="false">K2*B2/100</f>
        <v>583920</v>
      </c>
      <c r="U2" s="3" t="n">
        <f aca="false">N2*B2/100</f>
        <v>95000</v>
      </c>
      <c r="V2" s="3" t="n">
        <f aca="false">MAX(0,(P2*H2)-I2)*B2/100</f>
        <v>139.5</v>
      </c>
      <c r="W2" s="3" t="n">
        <f aca="false">H2*10/12*B2/100</f>
        <v>204.166666666667</v>
      </c>
    </row>
    <row r="3" customFormat="false" ht="15" hidden="false" customHeight="false" outlineLevel="0" collapsed="false">
      <c r="A3" s="0" t="s">
        <v>23</v>
      </c>
      <c r="B3" s="0" t="n">
        <v>100</v>
      </c>
      <c r="C3" s="0" t="s">
        <v>28</v>
      </c>
      <c r="D3" s="0" t="s">
        <v>29</v>
      </c>
      <c r="E3" s="0" t="n">
        <v>73525</v>
      </c>
      <c r="F3" s="0" t="s">
        <v>30</v>
      </c>
      <c r="G3" s="0" t="n">
        <v>6</v>
      </c>
      <c r="H3" s="0" t="n">
        <v>344</v>
      </c>
      <c r="I3" s="0" t="n">
        <v>2790</v>
      </c>
      <c r="J3" s="0" t="n">
        <v>552</v>
      </c>
      <c r="K3" s="0" t="n">
        <v>792000</v>
      </c>
      <c r="L3" s="0" t="n">
        <v>480000</v>
      </c>
      <c r="M3" s="0" t="n">
        <v>2016</v>
      </c>
      <c r="N3" s="0" t="n">
        <v>60000</v>
      </c>
      <c r="O3" s="4" t="s">
        <v>31</v>
      </c>
      <c r="P3" s="0" t="n">
        <v>9.5</v>
      </c>
      <c r="Q3" s="3" t="n">
        <f aca="false">I3*12</f>
        <v>33480</v>
      </c>
      <c r="R3" s="2" t="n">
        <f aca="false">IF(K3&gt;0,Q3/K3,0)</f>
        <v>0.0422727272727273</v>
      </c>
      <c r="S3" s="3" t="n">
        <f aca="false">I3*B3/100</f>
        <v>2790</v>
      </c>
      <c r="T3" s="3" t="n">
        <f aca="false">K3*B3/100</f>
        <v>792000</v>
      </c>
      <c r="U3" s="3" t="n">
        <f aca="false">N3*B3/100</f>
        <v>60000</v>
      </c>
      <c r="V3" s="3" t="n">
        <f aca="false">MAX(0,(P3*H3)-I3)*B3/100</f>
        <v>478</v>
      </c>
      <c r="W3" s="3" t="n">
        <f aca="false">H3*10/12*B3/100</f>
        <v>286.666666666667</v>
      </c>
    </row>
    <row r="4" customFormat="false" ht="15" hidden="false" customHeight="false" outlineLevel="0" collapsed="false">
      <c r="A4" s="0" t="s">
        <v>23</v>
      </c>
      <c r="B4" s="0" t="n">
        <v>100</v>
      </c>
      <c r="C4" s="0" t="s">
        <v>32</v>
      </c>
      <c r="D4" s="0" t="s">
        <v>33</v>
      </c>
      <c r="E4" s="0" t="n">
        <v>73540</v>
      </c>
      <c r="F4" s="0" t="s">
        <v>26</v>
      </c>
      <c r="G4" s="0" t="n">
        <v>1</v>
      </c>
      <c r="H4" s="0" t="n">
        <v>45</v>
      </c>
      <c r="I4" s="0" t="n">
        <v>450</v>
      </c>
      <c r="J4" s="0" t="n">
        <v>100</v>
      </c>
      <c r="K4" s="0" t="n">
        <v>118800</v>
      </c>
      <c r="L4" s="0" t="n">
        <v>55000</v>
      </c>
      <c r="M4" s="0" t="n">
        <v>2020</v>
      </c>
      <c r="N4" s="0" t="n">
        <v>10000</v>
      </c>
      <c r="O4" s="0" t="s">
        <v>27</v>
      </c>
      <c r="P4" s="0" t="n">
        <v>10</v>
      </c>
      <c r="Q4" s="0" t="n">
        <f aca="false">I4*12</f>
        <v>5400</v>
      </c>
      <c r="R4" s="2" t="n">
        <f aca="false">IF(K4&gt;0,Q4/K4,0)</f>
        <v>0.0454545454545455</v>
      </c>
      <c r="S4" s="3" t="n">
        <f aca="false">I4*B4/100</f>
        <v>450</v>
      </c>
      <c r="T4" s="3" t="n">
        <f aca="false">K4*B4/100</f>
        <v>118800</v>
      </c>
      <c r="U4" s="3" t="n">
        <f aca="false">N4*B4/100</f>
        <v>10000</v>
      </c>
      <c r="V4" s="3" t="n">
        <f aca="false">MAX(0,(P4*H4)-I4)*B4/100</f>
        <v>0</v>
      </c>
      <c r="W4" s="3" t="n">
        <f aca="false">H4*10/12*B4/100</f>
        <v>37.5</v>
      </c>
    </row>
    <row r="5" customFormat="false" ht="15" hidden="false" customHeight="false" outlineLevel="0" collapsed="false">
      <c r="A5" s="0" t="s">
        <v>23</v>
      </c>
      <c r="B5" s="0" t="n">
        <v>100</v>
      </c>
      <c r="C5" s="0" t="s">
        <v>34</v>
      </c>
      <c r="D5" s="0" t="s">
        <v>35</v>
      </c>
      <c r="E5" s="0" t="n">
        <v>73540</v>
      </c>
      <c r="F5" s="0" t="s">
        <v>26</v>
      </c>
      <c r="G5" s="0" t="n">
        <v>1</v>
      </c>
      <c r="H5" s="0" t="n">
        <v>60</v>
      </c>
      <c r="I5" s="0" t="n">
        <v>580</v>
      </c>
      <c r="J5" s="0" t="n">
        <v>80</v>
      </c>
      <c r="K5" s="0" t="n">
        <v>153120</v>
      </c>
      <c r="L5" s="0" t="n">
        <v>58000</v>
      </c>
      <c r="M5" s="0" t="n">
        <v>2022</v>
      </c>
      <c r="N5" s="0" t="n">
        <v>10000</v>
      </c>
      <c r="O5" s="0" t="s">
        <v>27</v>
      </c>
      <c r="P5" s="0" t="n">
        <v>10</v>
      </c>
      <c r="Q5" s="0" t="n">
        <f aca="false">I5*12</f>
        <v>6960</v>
      </c>
      <c r="R5" s="2" t="n">
        <f aca="false">IF(K5&gt;0,Q5/K5,0)</f>
        <v>0.0454545454545455</v>
      </c>
      <c r="S5" s="3" t="n">
        <f aca="false">I5*B5/100</f>
        <v>580</v>
      </c>
      <c r="T5" s="3" t="n">
        <f aca="false">K5*B5/100</f>
        <v>153120</v>
      </c>
      <c r="U5" s="3" t="n">
        <f aca="false">N5*B5/100</f>
        <v>10000</v>
      </c>
      <c r="V5" s="3" t="n">
        <f aca="false">MAX(0,(P5*H5)-I5)*B5/100</f>
        <v>20</v>
      </c>
      <c r="W5" s="3" t="n">
        <f aca="false">H5*10/12*B5/100</f>
        <v>50</v>
      </c>
    </row>
    <row r="6" customFormat="false" ht="15" hidden="false" customHeight="false" outlineLevel="0" collapsed="false">
      <c r="A6" s="0" t="s">
        <v>23</v>
      </c>
      <c r="B6" s="0" t="n">
        <v>100</v>
      </c>
      <c r="C6" s="0" t="s">
        <v>36</v>
      </c>
      <c r="D6" s="0" t="s">
        <v>37</v>
      </c>
      <c r="E6" s="0" t="n">
        <v>73540</v>
      </c>
      <c r="F6" s="0" t="s">
        <v>26</v>
      </c>
      <c r="G6" s="0" t="n">
        <v>1</v>
      </c>
      <c r="H6" s="0" t="n">
        <v>47</v>
      </c>
      <c r="I6" s="0" t="n">
        <v>564</v>
      </c>
      <c r="J6" s="0" t="n">
        <v>200</v>
      </c>
      <c r="K6" s="0" t="n">
        <v>137544</v>
      </c>
      <c r="L6" s="0" t="n">
        <v>60000</v>
      </c>
      <c r="M6" s="0" t="n">
        <v>2022</v>
      </c>
      <c r="N6" s="0" t="n">
        <v>10000</v>
      </c>
      <c r="O6" s="0" t="s">
        <v>27</v>
      </c>
      <c r="P6" s="0" t="n">
        <v>12</v>
      </c>
      <c r="Q6" s="0" t="n">
        <f aca="false">I6*12</f>
        <v>6768</v>
      </c>
      <c r="R6" s="2" t="n">
        <f aca="false">IF(K6&gt;0,Q6/K6,0)</f>
        <v>0.0492060722387018</v>
      </c>
      <c r="S6" s="3" t="n">
        <f aca="false">I6*B6/100</f>
        <v>564</v>
      </c>
      <c r="T6" s="3" t="n">
        <f aca="false">K6*B6/100</f>
        <v>137544</v>
      </c>
      <c r="U6" s="3" t="n">
        <f aca="false">N6*B6/100</f>
        <v>10000</v>
      </c>
      <c r="V6" s="3" t="n">
        <f aca="false">MAX(0,(P6*H6)-I6)*B6/100</f>
        <v>0</v>
      </c>
      <c r="W6" s="3" t="n">
        <f aca="false">H6*10/12*B6/100</f>
        <v>39.1666666666667</v>
      </c>
    </row>
    <row r="7" customFormat="false" ht="15" hidden="false" customHeight="false" outlineLevel="0" collapsed="false">
      <c r="A7" s="0" t="s">
        <v>23</v>
      </c>
      <c r="B7" s="0" t="n">
        <v>100</v>
      </c>
      <c r="C7" s="0" t="s">
        <v>38</v>
      </c>
      <c r="D7" s="0" t="s">
        <v>39</v>
      </c>
      <c r="E7" s="0" t="n">
        <v>89520</v>
      </c>
      <c r="F7" s="0" t="s">
        <v>40</v>
      </c>
      <c r="G7" s="0" t="n">
        <v>1</v>
      </c>
      <c r="H7" s="0" t="n">
        <v>77.45</v>
      </c>
      <c r="I7" s="0" t="n">
        <v>462.37</v>
      </c>
      <c r="J7" s="0" t="n">
        <v>336.74</v>
      </c>
      <c r="K7" s="0" t="n">
        <v>122066</v>
      </c>
      <c r="L7" s="0" t="n">
        <v>85000</v>
      </c>
      <c r="M7" s="0" t="n">
        <v>2016</v>
      </c>
      <c r="N7" s="0" t="n">
        <v>15000</v>
      </c>
      <c r="O7" s="0" t="s">
        <v>27</v>
      </c>
      <c r="P7" s="0" t="n">
        <v>8</v>
      </c>
      <c r="Q7" s="0" t="n">
        <f aca="false">I7*12</f>
        <v>5548.44</v>
      </c>
      <c r="R7" s="2" t="n">
        <f aca="false">IF(K7&gt;0,Q7/K7,0)</f>
        <v>0.0454544262939721</v>
      </c>
      <c r="S7" s="3" t="n">
        <f aca="false">I7*B7/100</f>
        <v>462.37</v>
      </c>
      <c r="T7" s="3" t="n">
        <f aca="false">K7*B7/100</f>
        <v>122066</v>
      </c>
      <c r="U7" s="3" t="n">
        <f aca="false">N7*B7/100</f>
        <v>15000</v>
      </c>
      <c r="V7" s="3" t="n">
        <f aca="false">MAX(0,(P7*H7)-I7)*B7/100</f>
        <v>157.23</v>
      </c>
      <c r="W7" s="3" t="n">
        <f aca="false">H7*10/12*B7/100</f>
        <v>64.5416666666667</v>
      </c>
    </row>
    <row r="8" customFormat="false" ht="15" hidden="false" customHeight="false" outlineLevel="0" collapsed="false">
      <c r="A8" s="0" t="s">
        <v>23</v>
      </c>
      <c r="B8" s="0" t="n">
        <v>100</v>
      </c>
      <c r="C8" s="0" t="s">
        <v>41</v>
      </c>
      <c r="D8" s="0" t="s">
        <v>42</v>
      </c>
      <c r="E8" s="0" t="n">
        <v>89520</v>
      </c>
      <c r="F8" s="0" t="s">
        <v>40</v>
      </c>
      <c r="G8" s="0" t="n">
        <v>1</v>
      </c>
      <c r="H8" s="0" t="n">
        <v>77.45</v>
      </c>
      <c r="I8" s="0" t="n">
        <v>650</v>
      </c>
      <c r="J8" s="0" t="n">
        <v>270</v>
      </c>
      <c r="K8" s="0" t="n">
        <v>171600</v>
      </c>
      <c r="L8" s="0" t="n">
        <v>95000</v>
      </c>
      <c r="M8" s="0" t="n">
        <v>2016</v>
      </c>
      <c r="N8" s="0" t="n">
        <v>15000</v>
      </c>
      <c r="O8" s="0" t="s">
        <v>27</v>
      </c>
      <c r="P8" s="0" t="n">
        <v>8.5</v>
      </c>
      <c r="Q8" s="0" t="n">
        <f aca="false">I8*12</f>
        <v>7800</v>
      </c>
      <c r="R8" s="2" t="n">
        <f aca="false">IF(K8&gt;0,Q8/K8,0)</f>
        <v>0.0454545454545455</v>
      </c>
      <c r="S8" s="3" t="n">
        <f aca="false">I8*B8/100</f>
        <v>650</v>
      </c>
      <c r="T8" s="3" t="n">
        <f aca="false">K8*B8/100</f>
        <v>171600</v>
      </c>
      <c r="U8" s="3" t="n">
        <f aca="false">N8*B8/100</f>
        <v>15000</v>
      </c>
      <c r="V8" s="3" t="n">
        <f aca="false">MAX(0,(P8*H8)-I8)*B8/100</f>
        <v>8.32500000000005</v>
      </c>
      <c r="W8" s="3" t="n">
        <f aca="false">H8*10/12*B8/100</f>
        <v>64.5416666666667</v>
      </c>
    </row>
    <row r="9" customFormat="false" ht="15" hidden="false" customHeight="false" outlineLevel="0" collapsed="false">
      <c r="A9" s="0" t="s">
        <v>23</v>
      </c>
      <c r="B9" s="0" t="n">
        <v>100</v>
      </c>
      <c r="C9" s="0" t="s">
        <v>43</v>
      </c>
      <c r="D9" s="0" t="s">
        <v>44</v>
      </c>
      <c r="E9" s="0" t="n">
        <v>89520</v>
      </c>
      <c r="F9" s="0" t="s">
        <v>40</v>
      </c>
      <c r="G9" s="0" t="n">
        <v>1</v>
      </c>
      <c r="H9" s="0" t="n">
        <v>82</v>
      </c>
      <c r="I9" s="0" t="n">
        <v>492</v>
      </c>
      <c r="J9" s="0" t="n">
        <v>323</v>
      </c>
      <c r="K9" s="0" t="n">
        <v>129888</v>
      </c>
      <c r="L9" s="0" t="n">
        <v>90000</v>
      </c>
      <c r="M9" s="0" t="n">
        <v>2016</v>
      </c>
      <c r="N9" s="0" t="n">
        <v>15000</v>
      </c>
      <c r="O9" s="0" t="s">
        <v>27</v>
      </c>
      <c r="P9" s="0" t="n">
        <v>8</v>
      </c>
      <c r="Q9" s="0" t="n">
        <f aca="false">I9*12</f>
        <v>5904</v>
      </c>
      <c r="R9" s="2" t="n">
        <f aca="false">IF(K9&gt;0,Q9/K9,0)</f>
        <v>0.0454545454545455</v>
      </c>
      <c r="S9" s="3" t="n">
        <f aca="false">I9*B9/100</f>
        <v>492</v>
      </c>
      <c r="T9" s="3" t="n">
        <f aca="false">K9*B9/100</f>
        <v>129888</v>
      </c>
      <c r="U9" s="3" t="n">
        <f aca="false">N9*B9/100</f>
        <v>15000</v>
      </c>
      <c r="V9" s="3" t="n">
        <f aca="false">MAX(0,(P9*H9)-I9)*B9/100</f>
        <v>164</v>
      </c>
      <c r="W9" s="3" t="n">
        <f aca="false">H9*10/12*B9/100</f>
        <v>68.3333333333333</v>
      </c>
    </row>
    <row r="10" customFormat="false" ht="15" hidden="false" customHeight="false" outlineLevel="0" collapsed="false">
      <c r="A10" s="0" t="s">
        <v>23</v>
      </c>
      <c r="B10" s="0" t="n">
        <v>100</v>
      </c>
      <c r="C10" s="0" t="s">
        <v>45</v>
      </c>
      <c r="D10" s="0" t="s">
        <v>46</v>
      </c>
      <c r="E10" s="0" t="n">
        <v>73525</v>
      </c>
      <c r="F10" s="0" t="s">
        <v>30</v>
      </c>
      <c r="G10" s="0" t="n">
        <v>1</v>
      </c>
      <c r="H10" s="0" t="n">
        <v>85</v>
      </c>
      <c r="I10" s="0" t="n">
        <v>0</v>
      </c>
      <c r="J10" s="0" t="n">
        <v>0</v>
      </c>
      <c r="K10" s="0" t="n">
        <v>211200</v>
      </c>
      <c r="L10" s="0" t="n">
        <v>180000</v>
      </c>
      <c r="M10" s="0" t="n">
        <v>2023</v>
      </c>
      <c r="N10" s="0" t="n">
        <v>180000</v>
      </c>
      <c r="O10" s="4" t="s">
        <v>47</v>
      </c>
      <c r="P10" s="0" t="n">
        <v>10</v>
      </c>
      <c r="Q10" s="3" t="n">
        <f aca="false">I10*12</f>
        <v>0</v>
      </c>
      <c r="R10" s="2" t="n">
        <f aca="false">IF(K10&gt;0,Q10/K10,0)</f>
        <v>0</v>
      </c>
      <c r="S10" s="3" t="n">
        <f aca="false">I10*B10/100</f>
        <v>0</v>
      </c>
      <c r="T10" s="3" t="n">
        <f aca="false">K10*B10/100</f>
        <v>211200</v>
      </c>
      <c r="U10" s="3" t="n">
        <f aca="false">N10*B10/100</f>
        <v>180000</v>
      </c>
      <c r="V10" s="3" t="n">
        <f aca="false">MAX(0,(P10*H10)-I10)*B10/100</f>
        <v>850</v>
      </c>
      <c r="W10" s="3" t="n">
        <f aca="false">H10*10/12*B10/100</f>
        <v>70.8333333333333</v>
      </c>
    </row>
    <row r="11" customFormat="false" ht="15" hidden="false" customHeight="false" outlineLevel="0" collapsed="false">
      <c r="A11" s="0" t="s">
        <v>48</v>
      </c>
      <c r="B11" s="0" t="n">
        <v>100</v>
      </c>
      <c r="C11" s="0" t="s">
        <v>49</v>
      </c>
      <c r="D11" s="0" t="s">
        <v>50</v>
      </c>
      <c r="E11" s="0" t="n">
        <v>73563</v>
      </c>
      <c r="F11" s="0" t="s">
        <v>51</v>
      </c>
      <c r="G11" s="0" t="n">
        <v>1</v>
      </c>
      <c r="H11" s="0" t="n">
        <v>150</v>
      </c>
      <c r="I11" s="0" t="n">
        <v>0</v>
      </c>
      <c r="J11" s="0" t="n">
        <v>0</v>
      </c>
      <c r="K11" s="0" t="n">
        <v>600000</v>
      </c>
      <c r="L11" s="0" t="n">
        <v>480000</v>
      </c>
      <c r="M11" s="0" t="n">
        <v>2021</v>
      </c>
      <c r="N11" s="0" t="n">
        <v>80000</v>
      </c>
      <c r="O11" s="5" t="s">
        <v>52</v>
      </c>
      <c r="P11" s="0" t="n">
        <v>0</v>
      </c>
      <c r="Q11" s="3" t="n">
        <f aca="false">I11*12</f>
        <v>0</v>
      </c>
      <c r="R11" s="2" t="n">
        <f aca="false">IF(K11&gt;0,Q11/K11,0)</f>
        <v>0</v>
      </c>
      <c r="S11" s="3" t="n">
        <f aca="false">I11*B11/100</f>
        <v>0</v>
      </c>
      <c r="T11" s="3" t="n">
        <f aca="false">K11*B11/100</f>
        <v>600000</v>
      </c>
      <c r="U11" s="3" t="n">
        <f aca="false">N11*B11/100</f>
        <v>80000</v>
      </c>
      <c r="V11" s="3" t="n">
        <f aca="false">MAX(0,(P11*H11)-I11)*B11/100</f>
        <v>0</v>
      </c>
      <c r="W11" s="3" t="n">
        <f aca="false">H11*10/12*B11/100</f>
        <v>125</v>
      </c>
    </row>
    <row r="12" customFormat="false" ht="15" hidden="false" customHeight="false" outlineLevel="0" collapsed="false">
      <c r="A12" s="0" t="s">
        <v>53</v>
      </c>
      <c r="B12" s="0" t="n">
        <v>100</v>
      </c>
      <c r="C12" s="0" t="s">
        <v>54</v>
      </c>
      <c r="D12" s="0" t="s">
        <v>55</v>
      </c>
      <c r="E12" s="0" t="n">
        <v>73434</v>
      </c>
      <c r="F12" s="0" t="s">
        <v>56</v>
      </c>
      <c r="G12" s="0" t="n">
        <v>1</v>
      </c>
      <c r="H12" s="0" t="n">
        <v>40</v>
      </c>
      <c r="I12" s="0" t="n">
        <v>300</v>
      </c>
      <c r="J12" s="0" t="n">
        <v>160</v>
      </c>
      <c r="K12" s="0" t="n">
        <v>79200</v>
      </c>
      <c r="L12" s="0" t="n">
        <v>37500</v>
      </c>
      <c r="M12" s="0" t="n">
        <v>2017</v>
      </c>
      <c r="N12" s="0" t="n">
        <v>5000</v>
      </c>
      <c r="O12" s="0" t="s">
        <v>27</v>
      </c>
      <c r="P12" s="0" t="n">
        <v>8.5</v>
      </c>
      <c r="Q12" s="0" t="n">
        <f aca="false">I12*12</f>
        <v>3600</v>
      </c>
      <c r="R12" s="2" t="n">
        <f aca="false">IF(K12&gt;0,Q12/K12,0)</f>
        <v>0.0454545454545455</v>
      </c>
      <c r="S12" s="3" t="n">
        <f aca="false">I12*B12/100</f>
        <v>300</v>
      </c>
      <c r="T12" s="3" t="n">
        <f aca="false">K12*B12/100</f>
        <v>79200</v>
      </c>
      <c r="U12" s="3" t="n">
        <f aca="false">N12*B12/100</f>
        <v>5000</v>
      </c>
      <c r="V12" s="3" t="n">
        <f aca="false">MAX(0,(P12*H12)-I12)*B12/100</f>
        <v>40</v>
      </c>
      <c r="W12" s="3" t="n">
        <f aca="false">H12*10/12*B12/100</f>
        <v>33.3333333333333</v>
      </c>
    </row>
    <row r="13" customFormat="false" ht="15" hidden="false" customHeight="false" outlineLevel="0" collapsed="false">
      <c r="A13" s="0" t="s">
        <v>57</v>
      </c>
      <c r="B13" s="0" t="n">
        <v>50</v>
      </c>
      <c r="C13" s="0" t="s">
        <v>58</v>
      </c>
      <c r="D13" s="0" t="s">
        <v>59</v>
      </c>
      <c r="E13" s="0" t="n">
        <v>73431</v>
      </c>
      <c r="F13" s="0" t="s">
        <v>56</v>
      </c>
      <c r="G13" s="0" t="n">
        <v>9</v>
      </c>
      <c r="H13" s="0" t="n">
        <v>636</v>
      </c>
      <c r="I13" s="0" t="n">
        <v>4932</v>
      </c>
      <c r="J13" s="0" t="n">
        <v>1072</v>
      </c>
      <c r="K13" s="0" t="n">
        <v>1269191</v>
      </c>
      <c r="L13" s="0" t="n">
        <v>650000</v>
      </c>
      <c r="M13" s="0" t="n">
        <v>2017</v>
      </c>
      <c r="N13" s="0" t="n">
        <v>100000</v>
      </c>
      <c r="O13" s="0" t="s">
        <v>27</v>
      </c>
      <c r="P13" s="0" t="n">
        <v>9</v>
      </c>
      <c r="Q13" s="0" t="n">
        <f aca="false">I13*12</f>
        <v>59184</v>
      </c>
      <c r="R13" s="2" t="n">
        <f aca="false">IF(K13&gt;0,Q13/K13,0)</f>
        <v>0.0466312792952361</v>
      </c>
      <c r="S13" s="3" t="n">
        <f aca="false">I13*B13/100</f>
        <v>2466</v>
      </c>
      <c r="T13" s="3" t="n">
        <f aca="false">K13*B13/100</f>
        <v>634595.5</v>
      </c>
      <c r="U13" s="3" t="n">
        <f aca="false">N13*B13/100</f>
        <v>50000</v>
      </c>
      <c r="V13" s="3" t="n">
        <f aca="false">MAX(0,(P13*H13)-I13)*B13/100</f>
        <v>396</v>
      </c>
      <c r="W13" s="3" t="n">
        <f aca="false">H13*10/12*B13/100</f>
        <v>265</v>
      </c>
    </row>
    <row r="14" customFormat="false" ht="15" hidden="false" customHeight="false" outlineLevel="0" collapsed="false">
      <c r="A14" s="0" t="s">
        <v>57</v>
      </c>
      <c r="B14" s="0" t="n">
        <v>50</v>
      </c>
      <c r="C14" s="0" t="s">
        <v>60</v>
      </c>
      <c r="D14" s="0" t="s">
        <v>61</v>
      </c>
      <c r="E14" s="0" t="n">
        <v>73431</v>
      </c>
      <c r="F14" s="0" t="s">
        <v>56</v>
      </c>
      <c r="G14" s="0" t="n">
        <v>6</v>
      </c>
      <c r="H14" s="0" t="n">
        <v>443.4</v>
      </c>
      <c r="I14" s="0" t="n">
        <v>3629</v>
      </c>
      <c r="J14" s="0" t="n">
        <v>830</v>
      </c>
      <c r="K14" s="0" t="n">
        <v>958067</v>
      </c>
      <c r="L14" s="0" t="n">
        <v>390000</v>
      </c>
      <c r="M14" s="0" t="n">
        <v>2017</v>
      </c>
      <c r="N14" s="0" t="n">
        <v>60000</v>
      </c>
      <c r="O14" s="4" t="s">
        <v>31</v>
      </c>
      <c r="P14" s="0" t="n">
        <v>9</v>
      </c>
      <c r="Q14" s="3" t="n">
        <f aca="false">I14*12</f>
        <v>43548</v>
      </c>
      <c r="R14" s="2" t="n">
        <f aca="false">IF(K14&gt;0,Q14/K14,0)</f>
        <v>0.0454540235703766</v>
      </c>
      <c r="S14" s="3" t="n">
        <f aca="false">I14*B14/100</f>
        <v>1814.5</v>
      </c>
      <c r="T14" s="3" t="n">
        <f aca="false">K14*B14/100</f>
        <v>479033.5</v>
      </c>
      <c r="U14" s="3" t="n">
        <f aca="false">N14*B14/100</f>
        <v>30000</v>
      </c>
      <c r="V14" s="3" t="n">
        <f aca="false">MAX(0,(P14*H14)-I14)*B14/100</f>
        <v>180.8</v>
      </c>
      <c r="W14" s="3" t="n">
        <f aca="false">H14*10/12*B14/100</f>
        <v>184.75</v>
      </c>
    </row>
    <row r="15" customFormat="false" ht="15" hidden="false" customHeight="false" outlineLevel="0" collapsed="false">
      <c r="A15" s="0" t="s">
        <v>62</v>
      </c>
      <c r="B15" s="0" t="n">
        <v>50</v>
      </c>
      <c r="C15" s="0" t="s">
        <v>63</v>
      </c>
      <c r="D15" s="0" t="s">
        <v>64</v>
      </c>
      <c r="E15" s="0" t="n">
        <v>73540</v>
      </c>
      <c r="F15" s="0" t="s">
        <v>26</v>
      </c>
      <c r="G15" s="0" t="n">
        <v>1</v>
      </c>
      <c r="H15" s="0" t="n">
        <v>76</v>
      </c>
      <c r="I15" s="0" t="n">
        <v>800</v>
      </c>
      <c r="J15" s="0" t="n">
        <v>200</v>
      </c>
      <c r="K15" s="0" t="n">
        <v>211200</v>
      </c>
      <c r="L15" s="0" t="n">
        <v>159000</v>
      </c>
      <c r="M15" s="0" t="n">
        <v>2022</v>
      </c>
      <c r="N15" s="0" t="n">
        <v>30000</v>
      </c>
      <c r="O15" s="0" t="s">
        <v>27</v>
      </c>
      <c r="P15" s="0" t="n">
        <v>10.5</v>
      </c>
      <c r="Q15" s="0" t="n">
        <f aca="false">I15*12</f>
        <v>9600</v>
      </c>
      <c r="R15" s="2" t="n">
        <f aca="false">IF(K15&gt;0,Q15/K15,0)</f>
        <v>0.0454545454545455</v>
      </c>
      <c r="S15" s="3" t="n">
        <f aca="false">I15*B15/100</f>
        <v>400</v>
      </c>
      <c r="T15" s="3" t="n">
        <f aca="false">K15*B15/100</f>
        <v>105600</v>
      </c>
      <c r="U15" s="3" t="n">
        <f aca="false">N15*B15/100</f>
        <v>15000</v>
      </c>
      <c r="V15" s="3" t="n">
        <f aca="false">MAX(0,(P15*H15)-I15)*B15/100</f>
        <v>0</v>
      </c>
      <c r="W15" s="3" t="n">
        <f aca="false">H15*10/12*B15/100</f>
        <v>31.6666666666667</v>
      </c>
    </row>
    <row r="16" customFormat="false" ht="15" hidden="false" customHeight="false" outlineLevel="0" collapsed="false">
      <c r="A16" s="0" t="s">
        <v>62</v>
      </c>
      <c r="B16" s="0" t="n">
        <v>50</v>
      </c>
      <c r="C16" s="0" t="s">
        <v>65</v>
      </c>
      <c r="D16" s="0" t="s">
        <v>66</v>
      </c>
      <c r="E16" s="0" t="n">
        <v>73540</v>
      </c>
      <c r="F16" s="0" t="s">
        <v>26</v>
      </c>
      <c r="G16" s="0" t="n">
        <v>1</v>
      </c>
      <c r="H16" s="0" t="n">
        <v>42</v>
      </c>
      <c r="I16" s="0" t="n">
        <v>500</v>
      </c>
      <c r="J16" s="0" t="n">
        <v>60</v>
      </c>
      <c r="K16" s="0" t="n">
        <v>132000</v>
      </c>
      <c r="L16" s="0" t="n">
        <v>106000</v>
      </c>
      <c r="M16" s="0" t="n">
        <v>2022</v>
      </c>
      <c r="N16" s="0" t="n">
        <v>20000</v>
      </c>
      <c r="O16" s="0" t="s">
        <v>27</v>
      </c>
      <c r="P16" s="0" t="n">
        <v>12</v>
      </c>
      <c r="Q16" s="0" t="n">
        <f aca="false">I16*12</f>
        <v>6000</v>
      </c>
      <c r="R16" s="2" t="n">
        <f aca="false">IF(K16&gt;0,Q16/K16,0)</f>
        <v>0.0454545454545455</v>
      </c>
      <c r="S16" s="3" t="n">
        <f aca="false">I16*B16/100</f>
        <v>250</v>
      </c>
      <c r="T16" s="3" t="n">
        <f aca="false">K16*B16/100</f>
        <v>66000</v>
      </c>
      <c r="U16" s="3" t="n">
        <f aca="false">N16*B16/100</f>
        <v>10000</v>
      </c>
      <c r="V16" s="3" t="n">
        <f aca="false">MAX(0,(P16*H16)-I16)*B16/100</f>
        <v>2</v>
      </c>
      <c r="W16" s="3" t="n">
        <f aca="false">H16*10/12*B16/100</f>
        <v>17.5</v>
      </c>
    </row>
    <row r="17" customFormat="false" ht="15" hidden="false" customHeight="false" outlineLevel="0" collapsed="false">
      <c r="A17" s="0" t="s">
        <v>62</v>
      </c>
      <c r="B17" s="0" t="n">
        <v>50</v>
      </c>
      <c r="C17" s="0" t="s">
        <v>67</v>
      </c>
      <c r="D17" s="0" t="s">
        <v>68</v>
      </c>
      <c r="E17" s="0" t="n">
        <v>73540</v>
      </c>
      <c r="F17" s="0" t="s">
        <v>26</v>
      </c>
      <c r="G17" s="0" t="n">
        <v>1</v>
      </c>
      <c r="H17" s="0" t="n">
        <v>47</v>
      </c>
      <c r="I17" s="0" t="n">
        <v>250</v>
      </c>
      <c r="J17" s="0" t="n">
        <v>70</v>
      </c>
      <c r="K17" s="0" t="n">
        <v>66000</v>
      </c>
      <c r="L17" s="0" t="n">
        <v>0</v>
      </c>
      <c r="M17" s="0" t="n">
        <v>2011</v>
      </c>
      <c r="N17" s="0" t="n">
        <v>0</v>
      </c>
      <c r="O17" s="0" t="s">
        <v>27</v>
      </c>
      <c r="P17" s="0" t="n">
        <v>8</v>
      </c>
      <c r="Q17" s="0" t="n">
        <f aca="false">I17*12</f>
        <v>3000</v>
      </c>
      <c r="R17" s="2" t="n">
        <f aca="false">IF(K17&gt;0,Q17/K17,0)</f>
        <v>0.0454545454545455</v>
      </c>
      <c r="S17" s="3" t="n">
        <f aca="false">I17*B17/100</f>
        <v>125</v>
      </c>
      <c r="T17" s="3" t="n">
        <f aca="false">K17*B17/100</f>
        <v>33000</v>
      </c>
      <c r="U17" s="3" t="n">
        <f aca="false">N17*B17/100</f>
        <v>0</v>
      </c>
      <c r="V17" s="3" t="n">
        <f aca="false">MAX(0,(P17*H17)-I17)*B17/100</f>
        <v>63</v>
      </c>
      <c r="W17" s="3" t="n">
        <f aca="false">H17*10/12*B17/100</f>
        <v>19.5833333333333</v>
      </c>
    </row>
    <row r="18" customFormat="false" ht="15" hidden="false" customHeight="false" outlineLevel="0" collapsed="false">
      <c r="A18" s="0" t="s">
        <v>62</v>
      </c>
      <c r="B18" s="0" t="n">
        <v>50</v>
      </c>
      <c r="C18" s="0" t="s">
        <v>69</v>
      </c>
      <c r="D18" s="0" t="s">
        <v>70</v>
      </c>
      <c r="E18" s="0" t="n">
        <v>73479</v>
      </c>
      <c r="F18" s="0" t="s">
        <v>71</v>
      </c>
      <c r="G18" s="0" t="n">
        <v>5</v>
      </c>
      <c r="H18" s="0" t="n">
        <v>347.76</v>
      </c>
      <c r="I18" s="0" t="n">
        <v>2470</v>
      </c>
      <c r="J18" s="0" t="n">
        <v>603</v>
      </c>
      <c r="K18" s="0" t="n">
        <v>760200</v>
      </c>
      <c r="L18" s="0" t="n">
        <v>705000</v>
      </c>
      <c r="M18" s="0" t="n">
        <v>2024</v>
      </c>
      <c r="N18" s="0" t="n">
        <v>50000</v>
      </c>
      <c r="O18" s="0" t="s">
        <v>27</v>
      </c>
      <c r="P18" s="0" t="n">
        <v>9</v>
      </c>
      <c r="Q18" s="0" t="n">
        <f aca="false">I18*12</f>
        <v>29640</v>
      </c>
      <c r="R18" s="2" t="n">
        <f aca="false">IF(K18&gt;0,Q18/K18,0)</f>
        <v>0.0389897395422257</v>
      </c>
      <c r="S18" s="3" t="n">
        <f aca="false">I18*B18/100</f>
        <v>1235</v>
      </c>
      <c r="T18" s="3" t="n">
        <f aca="false">K18*B18/100</f>
        <v>380100</v>
      </c>
      <c r="U18" s="3" t="n">
        <f aca="false">N18*B18/100</f>
        <v>25000</v>
      </c>
      <c r="V18" s="3" t="n">
        <f aca="false">MAX(0,(P18*H18)-I18)*B18/100</f>
        <v>329.92</v>
      </c>
      <c r="W18" s="3" t="n">
        <f aca="false">H18*10/12*B18/100</f>
        <v>144.9</v>
      </c>
    </row>
    <row r="19" customFormat="false" ht="15" hidden="false" customHeight="false" outlineLevel="0" collapsed="false">
      <c r="A19" s="6" t="s">
        <v>72</v>
      </c>
      <c r="G19" s="3" t="n">
        <f aca="false">SUMPRODUCT(G2:G18,B2:B18/100)</f>
        <v>29.5</v>
      </c>
      <c r="H19" s="3" t="n">
        <f aca="false">SUMPRODUCT(H2:H18,B2:B18/100)</f>
        <v>2048.98</v>
      </c>
      <c r="I19" s="3" t="n">
        <f aca="false">SUM(S2:S18)</f>
        <v>15011.87</v>
      </c>
      <c r="K19" s="3" t="n">
        <f aca="false">SUM(T2:T18)</f>
        <v>4797667</v>
      </c>
      <c r="N19" s="3" t="n">
        <f aca="false">SUM(U2:U18)</f>
        <v>625000</v>
      </c>
      <c r="Q19" s="3" t="n">
        <f aca="false">I19*12</f>
        <v>180142.44</v>
      </c>
      <c r="R19" s="2" t="n">
        <f aca="false">IF(K19&gt;0,Q19/K19,0)</f>
        <v>0.0375479248559769</v>
      </c>
      <c r="V19" s="3" t="n">
        <f aca="false">SUM(V2:V18)</f>
        <v>2828.775</v>
      </c>
      <c r="W19" s="3" t="n">
        <f aca="false">SUM(W2:W18)</f>
        <v>1707.48333333333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7" min="6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8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0"/>
    <col collapsed="false" customWidth="true" hidden="false" outlineLevel="0" max="15" min="14" style="0" width="14"/>
    <col collapsed="false" customWidth="true" hidden="false" outlineLevel="0" max="16" min="16" style="0" width="12"/>
    <col collapsed="false" customWidth="true" hidden="false" outlineLevel="0" max="17" min="17" style="0" width="3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</row>
    <row r="2" customFormat="false" ht="15" hidden="false" customHeight="false" outlineLevel="0" collapsed="false">
      <c r="A2" s="0" t="s">
        <v>23</v>
      </c>
      <c r="B2" s="0" t="n">
        <v>100</v>
      </c>
      <c r="C2" s="0" t="s">
        <v>88</v>
      </c>
      <c r="D2" s="0" t="s">
        <v>89</v>
      </c>
      <c r="E2" s="0" t="s">
        <v>90</v>
      </c>
      <c r="F2" s="0" t="s">
        <v>91</v>
      </c>
      <c r="G2" s="0" t="n">
        <v>115000</v>
      </c>
      <c r="H2" s="0" t="n">
        <v>87007.64</v>
      </c>
      <c r="I2" s="0" t="n">
        <v>400</v>
      </c>
      <c r="J2" s="2" t="n">
        <v>0.0195</v>
      </c>
      <c r="K2" s="3" t="s">
        <v>92</v>
      </c>
      <c r="L2" s="3" t="n">
        <f aca="false">G2-H2</f>
        <v>27992.36</v>
      </c>
      <c r="M2" s="2" t="n">
        <f aca="false">IF(G2&gt;0,L2/G2,0)</f>
        <v>0.243411826086957</v>
      </c>
      <c r="N2" s="3" t="n">
        <f aca="false">H2*J2</f>
        <v>1696.64898</v>
      </c>
      <c r="O2" s="3" t="n">
        <f aca="false">H2*B2/100</f>
        <v>87007.64</v>
      </c>
      <c r="P2" s="3" t="n">
        <f aca="false">I2*B2/100</f>
        <v>400</v>
      </c>
    </row>
    <row r="3" customFormat="false" ht="15" hidden="false" customHeight="false" outlineLevel="0" collapsed="false">
      <c r="A3" s="0" t="s">
        <v>23</v>
      </c>
      <c r="B3" s="0" t="n">
        <v>100</v>
      </c>
      <c r="C3" s="0" t="s">
        <v>88</v>
      </c>
      <c r="D3" s="0" t="s">
        <v>89</v>
      </c>
      <c r="E3" s="0" t="s">
        <v>93</v>
      </c>
      <c r="F3" s="0" t="s">
        <v>94</v>
      </c>
      <c r="G3" s="0" t="n">
        <v>100000</v>
      </c>
      <c r="H3" s="0" t="n">
        <v>100000</v>
      </c>
      <c r="I3" s="0" t="n">
        <v>133.33</v>
      </c>
      <c r="J3" s="2" t="n">
        <v>0.016</v>
      </c>
      <c r="K3" s="3" t="s">
        <v>95</v>
      </c>
      <c r="L3" s="3" t="n">
        <f aca="false">G3-H3</f>
        <v>0</v>
      </c>
      <c r="M3" s="2" t="n">
        <f aca="false">IF(G3&gt;0,L3/G3,0)</f>
        <v>0</v>
      </c>
      <c r="N3" s="3" t="n">
        <f aca="false">H3*J3</f>
        <v>1600</v>
      </c>
      <c r="O3" s="3" t="n">
        <f aca="false">H3*B3/100</f>
        <v>100000</v>
      </c>
      <c r="P3" s="3" t="n">
        <f aca="false">I3*B3/100</f>
        <v>133.33</v>
      </c>
      <c r="Q3" s="3" t="s">
        <v>96</v>
      </c>
    </row>
    <row r="4" customFormat="false" ht="15" hidden="false" customHeight="false" outlineLevel="0" collapsed="false">
      <c r="A4" s="0" t="s">
        <v>23</v>
      </c>
      <c r="B4" s="0" t="n">
        <v>100</v>
      </c>
      <c r="C4" s="0" t="s">
        <v>88</v>
      </c>
      <c r="D4" s="0" t="s">
        <v>97</v>
      </c>
      <c r="E4" s="0" t="s">
        <v>98</v>
      </c>
      <c r="F4" s="0" t="s">
        <v>91</v>
      </c>
      <c r="G4" s="0" t="n">
        <v>150000</v>
      </c>
      <c r="H4" s="0" t="n">
        <v>102393.05</v>
      </c>
      <c r="I4" s="0" t="n">
        <v>691.5</v>
      </c>
      <c r="J4" s="2" t="n">
        <v>0.0268</v>
      </c>
      <c r="K4" s="3" t="s">
        <v>99</v>
      </c>
      <c r="L4" s="3" t="n">
        <f aca="false">G4-H4</f>
        <v>47606.95</v>
      </c>
      <c r="M4" s="2" t="n">
        <f aca="false">IF(G4&gt;0,L4/G4,0)</f>
        <v>0.317379666666667</v>
      </c>
      <c r="N4" s="3" t="n">
        <f aca="false">H4*J4</f>
        <v>2744.13374</v>
      </c>
      <c r="O4" s="3" t="n">
        <f aca="false">H4*B4/100</f>
        <v>102393.05</v>
      </c>
      <c r="P4" s="3" t="n">
        <f aca="false">I4*B4/100</f>
        <v>691.5</v>
      </c>
    </row>
    <row r="5" customFormat="false" ht="15" hidden="false" customHeight="false" outlineLevel="0" collapsed="false">
      <c r="A5" s="0" t="s">
        <v>23</v>
      </c>
      <c r="B5" s="0" t="n">
        <v>100</v>
      </c>
      <c r="C5" s="0" t="s">
        <v>100</v>
      </c>
      <c r="D5" s="0" t="s">
        <v>89</v>
      </c>
      <c r="E5" s="0" t="s">
        <v>101</v>
      </c>
      <c r="F5" s="0" t="s">
        <v>102</v>
      </c>
      <c r="G5" s="0" t="n">
        <v>195000</v>
      </c>
      <c r="H5" s="0" t="n">
        <v>132207</v>
      </c>
      <c r="I5" s="0" t="n">
        <v>805</v>
      </c>
      <c r="J5" s="2" t="n">
        <v>0.018</v>
      </c>
      <c r="K5" s="3" t="s">
        <v>103</v>
      </c>
      <c r="L5" s="3" t="n">
        <f aca="false">G5-H5</f>
        <v>62793</v>
      </c>
      <c r="M5" s="2" t="n">
        <f aca="false">IF(G5&gt;0,L5/G5,0)</f>
        <v>0.322015384615385</v>
      </c>
      <c r="N5" s="3" t="n">
        <f aca="false">H5*J5</f>
        <v>2379.726</v>
      </c>
      <c r="O5" s="3" t="n">
        <f aca="false">H5*B5/100</f>
        <v>132207</v>
      </c>
      <c r="P5" s="3" t="n">
        <f aca="false">I5*B5/100</f>
        <v>805</v>
      </c>
    </row>
    <row r="6" customFormat="false" ht="15" hidden="false" customHeight="false" outlineLevel="0" collapsed="false">
      <c r="A6" s="0" t="s">
        <v>23</v>
      </c>
      <c r="B6" s="0" t="n">
        <v>100</v>
      </c>
      <c r="C6" s="0" t="s">
        <v>100</v>
      </c>
      <c r="D6" s="0" t="s">
        <v>89</v>
      </c>
      <c r="E6" s="0" t="s">
        <v>104</v>
      </c>
      <c r="F6" s="0" t="s">
        <v>105</v>
      </c>
      <c r="G6" s="0" t="n">
        <v>100000</v>
      </c>
      <c r="H6" s="0" t="n">
        <v>59918.22</v>
      </c>
      <c r="I6" s="0" t="n">
        <v>880</v>
      </c>
      <c r="J6" s="2" t="n">
        <v>0.012</v>
      </c>
      <c r="K6" s="3" t="s">
        <v>106</v>
      </c>
      <c r="L6" s="3" t="n">
        <f aca="false">G6-H6</f>
        <v>40081.78</v>
      </c>
      <c r="M6" s="2" t="n">
        <f aca="false">IF(G6&gt;0,L6/G6,0)</f>
        <v>0.4008178</v>
      </c>
      <c r="N6" s="3" t="n">
        <f aca="false">H6*J6</f>
        <v>719.01864</v>
      </c>
      <c r="O6" s="3" t="n">
        <f aca="false">H6*B6/100</f>
        <v>59918.22</v>
      </c>
      <c r="P6" s="3" t="n">
        <f aca="false">I6*B6/100</f>
        <v>880</v>
      </c>
    </row>
    <row r="7" customFormat="false" ht="15" hidden="false" customHeight="false" outlineLevel="0" collapsed="false">
      <c r="A7" s="0" t="s">
        <v>23</v>
      </c>
      <c r="B7" s="0" t="n">
        <v>100</v>
      </c>
      <c r="C7" s="0" t="s">
        <v>100</v>
      </c>
      <c r="D7" s="0" t="s">
        <v>97</v>
      </c>
      <c r="E7" s="0" t="s">
        <v>107</v>
      </c>
      <c r="F7" s="0" t="s">
        <v>102</v>
      </c>
      <c r="G7" s="0" t="n">
        <v>190000</v>
      </c>
      <c r="H7" s="0" t="n">
        <v>164621.37</v>
      </c>
      <c r="I7" s="0" t="n">
        <v>680.52</v>
      </c>
      <c r="J7" s="2" t="n">
        <v>0.023</v>
      </c>
      <c r="K7" s="3" t="s">
        <v>108</v>
      </c>
      <c r="L7" s="3" t="n">
        <f aca="false">G7-H7</f>
        <v>25378.63</v>
      </c>
      <c r="M7" s="2" t="n">
        <f aca="false">IF(G7&gt;0,L7/G7,0)</f>
        <v>0.133571736842105</v>
      </c>
      <c r="N7" s="3" t="n">
        <f aca="false">H7*J7</f>
        <v>3786.29151</v>
      </c>
      <c r="O7" s="3" t="n">
        <f aca="false">H7*B7/100</f>
        <v>164621.37</v>
      </c>
      <c r="P7" s="3" t="n">
        <f aca="false">I7*B7/100</f>
        <v>680.52</v>
      </c>
    </row>
    <row r="8" customFormat="false" ht="15" hidden="false" customHeight="false" outlineLevel="0" collapsed="false">
      <c r="A8" s="0" t="s">
        <v>23</v>
      </c>
      <c r="B8" s="0" t="n">
        <v>100</v>
      </c>
      <c r="C8" s="0" t="s">
        <v>100</v>
      </c>
      <c r="D8" s="0" t="s">
        <v>109</v>
      </c>
      <c r="E8" s="0" t="s">
        <v>110</v>
      </c>
      <c r="F8" s="0" t="s">
        <v>111</v>
      </c>
      <c r="G8" s="0" t="n">
        <v>50000</v>
      </c>
      <c r="H8" s="0" t="n">
        <v>21433.57</v>
      </c>
      <c r="I8" s="0" t="n">
        <v>500</v>
      </c>
      <c r="J8" s="2" t="n">
        <v>0.015</v>
      </c>
      <c r="K8" s="3" t="s">
        <v>112</v>
      </c>
      <c r="L8" s="3" t="n">
        <f aca="false">G8-H8</f>
        <v>28566.43</v>
      </c>
      <c r="M8" s="2" t="n">
        <f aca="false">IF(G8&gt;0,L8/G8,0)</f>
        <v>0.5713286</v>
      </c>
      <c r="N8" s="3" t="n">
        <f aca="false">H8*J8</f>
        <v>321.50355</v>
      </c>
      <c r="O8" s="3" t="n">
        <f aca="false">H8*B8/100</f>
        <v>21433.57</v>
      </c>
      <c r="P8" s="3" t="n">
        <f aca="false">I8*B8/100</f>
        <v>500</v>
      </c>
    </row>
    <row r="9" customFormat="false" ht="15" hidden="false" customHeight="false" outlineLevel="0" collapsed="false">
      <c r="A9" s="0" t="s">
        <v>23</v>
      </c>
      <c r="B9" s="0" t="n">
        <v>100</v>
      </c>
      <c r="C9" s="0" t="s">
        <v>113</v>
      </c>
      <c r="D9" s="0" t="s">
        <v>109</v>
      </c>
      <c r="E9" s="0" t="s">
        <v>114</v>
      </c>
      <c r="F9" s="0" t="s">
        <v>115</v>
      </c>
      <c r="G9" s="0" t="n">
        <v>55000</v>
      </c>
      <c r="H9" s="0" t="n">
        <v>47405.2</v>
      </c>
      <c r="I9" s="0" t="n">
        <v>203.96</v>
      </c>
      <c r="J9" s="2" t="n">
        <v>0.0195</v>
      </c>
      <c r="K9" s="3" t="s">
        <v>116</v>
      </c>
      <c r="L9" s="3" t="n">
        <f aca="false">G9-H9</f>
        <v>7594.8</v>
      </c>
      <c r="M9" s="2" t="n">
        <f aca="false">IF(G9&gt;0,L9/G9,0)</f>
        <v>0.138087272727273</v>
      </c>
      <c r="N9" s="3" t="n">
        <f aca="false">H9*J9</f>
        <v>924.4014</v>
      </c>
      <c r="O9" s="3" t="n">
        <f aca="false">H9*B9/100</f>
        <v>47405.2</v>
      </c>
      <c r="P9" s="3" t="n">
        <f aca="false">I9*B9/100</f>
        <v>203.96</v>
      </c>
    </row>
    <row r="10" customFormat="false" ht="15" hidden="false" customHeight="false" outlineLevel="0" collapsed="false">
      <c r="A10" s="0" t="s">
        <v>23</v>
      </c>
      <c r="B10" s="0" t="n">
        <v>100</v>
      </c>
      <c r="C10" s="0" t="s">
        <v>117</v>
      </c>
      <c r="D10" s="0" t="s">
        <v>89</v>
      </c>
      <c r="E10" s="0" t="s">
        <v>118</v>
      </c>
      <c r="F10" s="0" t="s">
        <v>119</v>
      </c>
      <c r="G10" s="0" t="n">
        <v>28000</v>
      </c>
      <c r="H10" s="0" t="n">
        <v>17093.18</v>
      </c>
      <c r="I10" s="0" t="n">
        <v>137.9</v>
      </c>
      <c r="J10" s="2" t="n">
        <v>0.0225</v>
      </c>
      <c r="K10" s="3" t="s">
        <v>120</v>
      </c>
      <c r="L10" s="3" t="n">
        <f aca="false">G10-H10</f>
        <v>10906.82</v>
      </c>
      <c r="M10" s="2" t="n">
        <f aca="false">IF(G10&gt;0,L10/G10,0)</f>
        <v>0.389529285714286</v>
      </c>
      <c r="N10" s="3" t="n">
        <f aca="false">H10*J10</f>
        <v>384.59655</v>
      </c>
      <c r="O10" s="3" t="n">
        <f aca="false">H10*B10/100</f>
        <v>17093.18</v>
      </c>
      <c r="P10" s="3" t="n">
        <f aca="false">I10*B10/100</f>
        <v>137.9</v>
      </c>
    </row>
    <row r="11" customFormat="false" ht="15" hidden="false" customHeight="false" outlineLevel="0" collapsed="false">
      <c r="A11" s="0" t="s">
        <v>23</v>
      </c>
      <c r="B11" s="0" t="n">
        <v>100</v>
      </c>
      <c r="C11" s="0" t="s">
        <v>117</v>
      </c>
      <c r="D11" s="0" t="s">
        <v>121</v>
      </c>
      <c r="E11" s="0" t="s">
        <v>122</v>
      </c>
      <c r="F11" s="0" t="s">
        <v>119</v>
      </c>
      <c r="G11" s="0" t="n">
        <v>29955</v>
      </c>
      <c r="H11" s="0" t="n">
        <v>29955</v>
      </c>
      <c r="I11" s="0" t="n">
        <v>145</v>
      </c>
      <c r="J11" s="2" t="n">
        <v>0.0225</v>
      </c>
      <c r="K11" s="3" t="s">
        <v>120</v>
      </c>
      <c r="L11" s="3" t="n">
        <f aca="false">G11-H11</f>
        <v>0</v>
      </c>
      <c r="M11" s="2" t="n">
        <f aca="false">IF(G11&gt;0,L11/G11,0)</f>
        <v>0</v>
      </c>
      <c r="N11" s="3" t="n">
        <f aca="false">H11*J11</f>
        <v>673.9875</v>
      </c>
      <c r="O11" s="3" t="n">
        <f aca="false">H11*B11/100</f>
        <v>29955</v>
      </c>
      <c r="P11" s="3" t="n">
        <f aca="false">I11*B11/100</f>
        <v>145</v>
      </c>
      <c r="Q11" s="3" t="s">
        <v>123</v>
      </c>
    </row>
    <row r="12" customFormat="false" ht="15" hidden="false" customHeight="false" outlineLevel="0" collapsed="false">
      <c r="A12" s="0" t="s">
        <v>23</v>
      </c>
      <c r="B12" s="0" t="n">
        <v>100</v>
      </c>
      <c r="C12" s="0" t="s">
        <v>37</v>
      </c>
      <c r="D12" s="0" t="s">
        <v>89</v>
      </c>
      <c r="E12" s="0" t="s">
        <v>124</v>
      </c>
      <c r="F12" s="0" t="s">
        <v>119</v>
      </c>
      <c r="G12" s="0" t="n">
        <v>30000</v>
      </c>
      <c r="H12" s="0" t="n">
        <v>19932.82</v>
      </c>
      <c r="I12" s="0" t="n">
        <v>135</v>
      </c>
      <c r="J12" s="2" t="n">
        <v>0.0225</v>
      </c>
      <c r="K12" s="3" t="s">
        <v>120</v>
      </c>
      <c r="L12" s="3" t="n">
        <f aca="false">G12-H12</f>
        <v>10067.18</v>
      </c>
      <c r="M12" s="2" t="n">
        <f aca="false">IF(G12&gt;0,L12/G12,0)</f>
        <v>0.335572666666667</v>
      </c>
      <c r="N12" s="3" t="n">
        <f aca="false">H12*J12</f>
        <v>448.48845</v>
      </c>
      <c r="O12" s="3" t="n">
        <f aca="false">H12*B12/100</f>
        <v>19932.82</v>
      </c>
      <c r="P12" s="3" t="n">
        <f aca="false">I12*B12/100</f>
        <v>135</v>
      </c>
    </row>
    <row r="13" customFormat="false" ht="15" hidden="false" customHeight="false" outlineLevel="0" collapsed="false">
      <c r="A13" s="0" t="s">
        <v>23</v>
      </c>
      <c r="B13" s="0" t="n">
        <v>100</v>
      </c>
      <c r="C13" s="0" t="s">
        <v>37</v>
      </c>
      <c r="D13" s="0" t="s">
        <v>121</v>
      </c>
      <c r="E13" s="0" t="s">
        <v>125</v>
      </c>
      <c r="F13" s="0" t="s">
        <v>119</v>
      </c>
      <c r="G13" s="0" t="n">
        <v>29955</v>
      </c>
      <c r="H13" s="0" t="n">
        <v>29955</v>
      </c>
      <c r="I13" s="0" t="n">
        <v>135</v>
      </c>
      <c r="J13" s="2" t="n">
        <v>0.0225</v>
      </c>
      <c r="K13" s="3" t="s">
        <v>120</v>
      </c>
      <c r="L13" s="3" t="n">
        <f aca="false">G13-H13</f>
        <v>0</v>
      </c>
      <c r="M13" s="2" t="n">
        <f aca="false">IF(G13&gt;0,L13/G13,0)</f>
        <v>0</v>
      </c>
      <c r="N13" s="3" t="n">
        <f aca="false">H13*J13</f>
        <v>673.9875</v>
      </c>
      <c r="O13" s="3" t="n">
        <f aca="false">H13*B13/100</f>
        <v>29955</v>
      </c>
      <c r="P13" s="3" t="n">
        <f aca="false">I13*B13/100</f>
        <v>135</v>
      </c>
      <c r="Q13" s="3" t="s">
        <v>126</v>
      </c>
    </row>
    <row r="14" customFormat="false" ht="15" hidden="false" customHeight="false" outlineLevel="0" collapsed="false">
      <c r="A14" s="0" t="s">
        <v>23</v>
      </c>
      <c r="B14" s="0" t="n">
        <v>100</v>
      </c>
      <c r="C14" s="0" t="s">
        <v>127</v>
      </c>
      <c r="D14" s="0" t="s">
        <v>89</v>
      </c>
      <c r="E14" s="0" t="s">
        <v>128</v>
      </c>
      <c r="F14" s="0" t="s">
        <v>129</v>
      </c>
      <c r="G14" s="0" t="n">
        <v>108000</v>
      </c>
      <c r="H14" s="0" t="n">
        <v>72225.55</v>
      </c>
      <c r="I14" s="0" t="n">
        <v>465.3</v>
      </c>
      <c r="J14" s="2" t="n">
        <v>0.0195</v>
      </c>
      <c r="K14" s="3" t="s">
        <v>130</v>
      </c>
      <c r="L14" s="3" t="n">
        <f aca="false">G14-H14</f>
        <v>35774.45</v>
      </c>
      <c r="M14" s="2" t="n">
        <f aca="false">IF(G14&gt;0,L14/G14,0)</f>
        <v>0.331244907407407</v>
      </c>
      <c r="N14" s="3" t="n">
        <f aca="false">H14*J14</f>
        <v>1408.398225</v>
      </c>
      <c r="O14" s="3" t="n">
        <f aca="false">H14*B14/100</f>
        <v>72225.55</v>
      </c>
      <c r="P14" s="3" t="n">
        <f aca="false">I14*B14/100</f>
        <v>465.3</v>
      </c>
    </row>
    <row r="15" customFormat="false" ht="15" hidden="false" customHeight="false" outlineLevel="0" collapsed="false">
      <c r="A15" s="0" t="s">
        <v>23</v>
      </c>
      <c r="B15" s="0" t="n">
        <v>100</v>
      </c>
      <c r="C15" s="0" t="s">
        <v>127</v>
      </c>
      <c r="D15" s="0" t="s">
        <v>89</v>
      </c>
      <c r="E15" s="0" t="s">
        <v>131</v>
      </c>
      <c r="F15" s="0" t="s">
        <v>129</v>
      </c>
      <c r="G15" s="0" t="n">
        <v>50000</v>
      </c>
      <c r="H15" s="0" t="n">
        <v>30288.59</v>
      </c>
      <c r="I15" s="0" t="n">
        <v>440</v>
      </c>
      <c r="J15" s="2" t="n">
        <v>0.012</v>
      </c>
      <c r="K15" s="3" t="s">
        <v>106</v>
      </c>
      <c r="L15" s="3" t="n">
        <f aca="false">G15-H15</f>
        <v>19711.41</v>
      </c>
      <c r="M15" s="2" t="n">
        <f aca="false">IF(G15&gt;0,L15/G15,0)</f>
        <v>0.3942282</v>
      </c>
      <c r="N15" s="3" t="n">
        <f aca="false">H15*J15</f>
        <v>363.46308</v>
      </c>
      <c r="O15" s="3" t="n">
        <f aca="false">H15*B15/100</f>
        <v>30288.59</v>
      </c>
      <c r="P15" s="3" t="n">
        <f aca="false">I15*B15/100</f>
        <v>440</v>
      </c>
    </row>
    <row r="16" customFormat="false" ht="15" hidden="false" customHeight="false" outlineLevel="0" collapsed="false">
      <c r="A16" s="0" t="s">
        <v>23</v>
      </c>
      <c r="B16" s="0" t="n">
        <v>100</v>
      </c>
      <c r="C16" s="0" t="s">
        <v>127</v>
      </c>
      <c r="D16" s="0" t="s">
        <v>97</v>
      </c>
      <c r="E16" s="0" t="s">
        <v>132</v>
      </c>
      <c r="F16" s="0" t="s">
        <v>129</v>
      </c>
      <c r="G16" s="0" t="n">
        <v>110000</v>
      </c>
      <c r="H16" s="0" t="n">
        <v>76095.7</v>
      </c>
      <c r="I16" s="0" t="n">
        <v>486.11</v>
      </c>
      <c r="J16" s="2" t="n">
        <v>0.0228</v>
      </c>
      <c r="K16" s="3" t="s">
        <v>133</v>
      </c>
      <c r="L16" s="3" t="n">
        <f aca="false">G16-H16</f>
        <v>33904.3</v>
      </c>
      <c r="M16" s="2" t="n">
        <f aca="false">IF(G16&gt;0,L16/G16,0)</f>
        <v>0.308220909090909</v>
      </c>
      <c r="N16" s="3" t="n">
        <f aca="false">H16*J16</f>
        <v>1734.98196</v>
      </c>
      <c r="O16" s="3" t="n">
        <f aca="false">H16*B16/100</f>
        <v>76095.7</v>
      </c>
      <c r="P16" s="3" t="n">
        <f aca="false">I16*B16/100</f>
        <v>486.11</v>
      </c>
    </row>
    <row r="17" customFormat="false" ht="15" hidden="false" customHeight="false" outlineLevel="0" collapsed="false">
      <c r="A17" s="0" t="s">
        <v>48</v>
      </c>
      <c r="B17" s="0" t="n">
        <v>100</v>
      </c>
      <c r="C17" s="0" t="s">
        <v>50</v>
      </c>
      <c r="D17" s="0" t="s">
        <v>89</v>
      </c>
      <c r="E17" s="0" t="s">
        <v>134</v>
      </c>
      <c r="F17" s="0" t="s">
        <v>135</v>
      </c>
      <c r="G17" s="0" t="n">
        <v>300000</v>
      </c>
      <c r="H17" s="0" t="n">
        <v>273018.57</v>
      </c>
      <c r="I17" s="0" t="n">
        <v>696.29</v>
      </c>
      <c r="J17" s="2" t="n">
        <v>0.0096</v>
      </c>
      <c r="K17" s="3" t="s">
        <v>136</v>
      </c>
      <c r="L17" s="3" t="n">
        <f aca="false">G17-H17</f>
        <v>26981.43</v>
      </c>
      <c r="M17" s="2" t="n">
        <f aca="false">IF(G17&gt;0,L17/G17,0)</f>
        <v>0.0899381</v>
      </c>
      <c r="N17" s="3" t="n">
        <f aca="false">H17*J17</f>
        <v>2620.978272</v>
      </c>
      <c r="O17" s="3" t="n">
        <f aca="false">H17*B17/100</f>
        <v>273018.57</v>
      </c>
      <c r="P17" s="3" t="n">
        <f aca="false">I17*B17/100</f>
        <v>696.29</v>
      </c>
    </row>
    <row r="18" customFormat="false" ht="15" hidden="false" customHeight="false" outlineLevel="0" collapsed="false">
      <c r="A18" s="0" t="s">
        <v>48</v>
      </c>
      <c r="B18" s="0" t="n">
        <v>100</v>
      </c>
      <c r="C18" s="0" t="s">
        <v>50</v>
      </c>
      <c r="D18" s="0" t="s">
        <v>97</v>
      </c>
      <c r="E18" s="0" t="s">
        <v>137</v>
      </c>
      <c r="F18" s="0" t="s">
        <v>135</v>
      </c>
      <c r="G18" s="0" t="n">
        <v>300000</v>
      </c>
      <c r="H18" s="0" t="n">
        <v>285394.06</v>
      </c>
      <c r="I18" s="0" t="n">
        <v>709.25</v>
      </c>
      <c r="J18" s="2" t="n">
        <v>0.0186</v>
      </c>
      <c r="K18" s="3" t="s">
        <v>138</v>
      </c>
      <c r="L18" s="3" t="n">
        <f aca="false">G18-H18</f>
        <v>14605.94</v>
      </c>
      <c r="M18" s="2" t="n">
        <f aca="false">IF(G18&gt;0,L18/G18,0)</f>
        <v>0.0486864666666667</v>
      </c>
      <c r="N18" s="3" t="n">
        <f aca="false">H18*J18</f>
        <v>5308.329516</v>
      </c>
      <c r="O18" s="3" t="n">
        <f aca="false">H18*B18/100</f>
        <v>285394.06</v>
      </c>
      <c r="P18" s="3" t="n">
        <f aca="false">I18*B18/100</f>
        <v>709.25</v>
      </c>
    </row>
    <row r="19" customFormat="false" ht="15" hidden="false" customHeight="false" outlineLevel="0" collapsed="false">
      <c r="A19" s="0" t="s">
        <v>53</v>
      </c>
      <c r="B19" s="0" t="n">
        <v>100</v>
      </c>
      <c r="C19" s="0" t="s">
        <v>139</v>
      </c>
      <c r="D19" s="0" t="s">
        <v>89</v>
      </c>
      <c r="E19" s="0" t="s">
        <v>140</v>
      </c>
      <c r="F19" s="0" t="s">
        <v>141</v>
      </c>
      <c r="G19" s="0" t="n">
        <v>37500</v>
      </c>
      <c r="H19" s="0" t="n">
        <v>33406.63</v>
      </c>
      <c r="I19" s="0" t="n">
        <v>95</v>
      </c>
      <c r="J19" s="2" t="n">
        <v>0.019</v>
      </c>
      <c r="K19" s="3" t="s">
        <v>142</v>
      </c>
      <c r="L19" s="3" t="n">
        <f aca="false">G19-H19</f>
        <v>4093.37</v>
      </c>
      <c r="M19" s="2" t="n">
        <f aca="false">IF(G19&gt;0,L19/G19,0)</f>
        <v>0.109156533333333</v>
      </c>
      <c r="N19" s="3" t="n">
        <f aca="false">H19*J19</f>
        <v>634.72597</v>
      </c>
      <c r="O19" s="3" t="n">
        <f aca="false">H19*B19/100</f>
        <v>33406.63</v>
      </c>
      <c r="P19" s="3" t="n">
        <f aca="false">I19*B19/100</f>
        <v>95</v>
      </c>
    </row>
    <row r="20" customFormat="false" ht="15" hidden="false" customHeight="false" outlineLevel="0" collapsed="false">
      <c r="A20" s="0" t="s">
        <v>57</v>
      </c>
      <c r="B20" s="0" t="n">
        <v>50</v>
      </c>
      <c r="C20" s="0" t="s">
        <v>143</v>
      </c>
      <c r="D20" s="0" t="s">
        <v>89</v>
      </c>
      <c r="E20" s="0" t="s">
        <v>144</v>
      </c>
      <c r="F20" s="0" t="s">
        <v>145</v>
      </c>
      <c r="G20" s="0" t="n">
        <v>650000</v>
      </c>
      <c r="H20" s="0" t="n">
        <v>494645.79</v>
      </c>
      <c r="I20" s="0" t="n">
        <v>2820</v>
      </c>
      <c r="J20" s="2" t="n">
        <v>0.021</v>
      </c>
      <c r="K20" s="3" t="s">
        <v>146</v>
      </c>
      <c r="L20" s="3" t="n">
        <f aca="false">G20-H20</f>
        <v>155354.21</v>
      </c>
      <c r="M20" s="2" t="n">
        <f aca="false">IF(G20&gt;0,L20/G20,0)</f>
        <v>0.239006476923077</v>
      </c>
      <c r="N20" s="3" t="n">
        <f aca="false">H20*J20</f>
        <v>10387.56159</v>
      </c>
      <c r="O20" s="3" t="n">
        <f aca="false">H20*B20/100</f>
        <v>247322.895</v>
      </c>
      <c r="P20" s="3" t="n">
        <f aca="false">I20*B20/100</f>
        <v>1410</v>
      </c>
    </row>
    <row r="21" customFormat="false" ht="15" hidden="false" customHeight="false" outlineLevel="0" collapsed="false">
      <c r="A21" s="0" t="s">
        <v>57</v>
      </c>
      <c r="B21" s="0" t="n">
        <v>50</v>
      </c>
      <c r="C21" s="0" t="s">
        <v>147</v>
      </c>
      <c r="D21" s="0" t="s">
        <v>89</v>
      </c>
      <c r="E21" s="0" t="s">
        <v>148</v>
      </c>
      <c r="F21" s="0" t="s">
        <v>145</v>
      </c>
      <c r="G21" s="0" t="n">
        <v>390000</v>
      </c>
      <c r="H21" s="0" t="n">
        <v>296055.06</v>
      </c>
      <c r="I21" s="0" t="n">
        <v>1700</v>
      </c>
      <c r="J21" s="2" t="n">
        <v>0.021</v>
      </c>
      <c r="K21" s="3" t="s">
        <v>146</v>
      </c>
      <c r="L21" s="3" t="n">
        <f aca="false">G21-H21</f>
        <v>93944.94</v>
      </c>
      <c r="M21" s="2" t="n">
        <f aca="false">IF(G21&gt;0,L21/G21,0)</f>
        <v>0.240884461538462</v>
      </c>
      <c r="N21" s="3" t="n">
        <f aca="false">H21*J21</f>
        <v>6217.15626</v>
      </c>
      <c r="O21" s="3" t="n">
        <f aca="false">H21*B21/100</f>
        <v>148027.53</v>
      </c>
      <c r="P21" s="3" t="n">
        <f aca="false">I21*B21/100</f>
        <v>850</v>
      </c>
    </row>
    <row r="22" customFormat="false" ht="15" hidden="false" customHeight="false" outlineLevel="0" collapsed="false">
      <c r="A22" s="0" t="s">
        <v>57</v>
      </c>
      <c r="B22" s="0" t="n">
        <v>50</v>
      </c>
      <c r="C22" s="0" t="s">
        <v>149</v>
      </c>
      <c r="D22" s="0" t="s">
        <v>89</v>
      </c>
      <c r="E22" s="0" t="s">
        <v>150</v>
      </c>
      <c r="F22" s="0" t="s">
        <v>151</v>
      </c>
      <c r="G22" s="0" t="n">
        <v>280000</v>
      </c>
      <c r="H22" s="0" t="n">
        <v>245934</v>
      </c>
      <c r="I22" s="0" t="n">
        <v>1045</v>
      </c>
      <c r="J22" s="2" t="n">
        <v>0.0198</v>
      </c>
      <c r="K22" s="3" t="s">
        <v>152</v>
      </c>
      <c r="L22" s="3" t="n">
        <f aca="false">G22-H22</f>
        <v>34066</v>
      </c>
      <c r="M22" s="2" t="n">
        <f aca="false">IF(G22&gt;0,L22/G22,0)</f>
        <v>0.121664285714286</v>
      </c>
      <c r="N22" s="3" t="n">
        <f aca="false">H22*J22</f>
        <v>4869.4932</v>
      </c>
      <c r="O22" s="3" t="n">
        <f aca="false">H22*B22/100</f>
        <v>122967</v>
      </c>
      <c r="P22" s="3" t="n">
        <f aca="false">I22*B22/100</f>
        <v>522.5</v>
      </c>
      <c r="Q22" s="3" t="s">
        <v>153</v>
      </c>
    </row>
    <row r="23" customFormat="false" ht="15" hidden="false" customHeight="false" outlineLevel="0" collapsed="false">
      <c r="A23" s="0" t="s">
        <v>62</v>
      </c>
      <c r="B23" s="0" t="n">
        <v>50</v>
      </c>
      <c r="C23" s="0" t="s">
        <v>154</v>
      </c>
      <c r="D23" s="0" t="s">
        <v>89</v>
      </c>
      <c r="E23" s="0" t="s">
        <v>155</v>
      </c>
      <c r="F23" s="0" t="s">
        <v>156</v>
      </c>
      <c r="G23" s="0" t="n">
        <v>159000</v>
      </c>
      <c r="H23" s="0" t="n">
        <v>155741.77</v>
      </c>
      <c r="I23" s="0" t="n">
        <v>792.07</v>
      </c>
      <c r="J23" s="2" t="n">
        <v>0.0448</v>
      </c>
      <c r="K23" s="3" t="s">
        <v>157</v>
      </c>
      <c r="L23" s="3" t="n">
        <f aca="false">G23-H23</f>
        <v>3258.23000000001</v>
      </c>
      <c r="M23" s="2" t="n">
        <f aca="false">IF(G23&gt;0,L23/G23,0)</f>
        <v>0.0204920125786164</v>
      </c>
      <c r="N23" s="3" t="n">
        <f aca="false">H23*J23</f>
        <v>6977.231296</v>
      </c>
      <c r="O23" s="3" t="n">
        <f aca="false">H23*B23/100</f>
        <v>77870.885</v>
      </c>
      <c r="P23" s="3" t="n">
        <f aca="false">I23*B23/100</f>
        <v>396.035</v>
      </c>
    </row>
    <row r="24" customFormat="false" ht="15" hidden="false" customHeight="false" outlineLevel="0" collapsed="false">
      <c r="A24" s="0" t="s">
        <v>62</v>
      </c>
      <c r="B24" s="0" t="n">
        <v>50</v>
      </c>
      <c r="C24" s="0" t="s">
        <v>158</v>
      </c>
      <c r="D24" s="0" t="s">
        <v>89</v>
      </c>
      <c r="E24" s="0" t="s">
        <v>159</v>
      </c>
      <c r="F24" s="0" t="s">
        <v>156</v>
      </c>
      <c r="G24" s="0" t="n">
        <v>106000</v>
      </c>
      <c r="H24" s="0" t="n">
        <v>103825.41</v>
      </c>
      <c r="I24" s="0" t="n">
        <v>528.23</v>
      </c>
      <c r="J24" s="2" t="n">
        <v>0.0448</v>
      </c>
      <c r="K24" s="3" t="s">
        <v>157</v>
      </c>
      <c r="L24" s="3" t="n">
        <f aca="false">G24-H24</f>
        <v>2174.59</v>
      </c>
      <c r="M24" s="2" t="n">
        <f aca="false">IF(G24&gt;0,L24/G24,0)</f>
        <v>0.020515</v>
      </c>
      <c r="N24" s="3" t="n">
        <f aca="false">H24*J24</f>
        <v>4651.378368</v>
      </c>
      <c r="O24" s="3" t="n">
        <f aca="false">H24*B24/100</f>
        <v>51912.705</v>
      </c>
      <c r="P24" s="3" t="n">
        <f aca="false">I24*B24/100</f>
        <v>264.115</v>
      </c>
    </row>
    <row r="25" customFormat="false" ht="15" hidden="false" customHeight="false" outlineLevel="0" collapsed="false">
      <c r="A25" s="0" t="s">
        <v>62</v>
      </c>
      <c r="B25" s="0" t="n">
        <v>50</v>
      </c>
      <c r="C25" s="0" t="s">
        <v>160</v>
      </c>
      <c r="D25" s="0" t="s">
        <v>89</v>
      </c>
      <c r="E25" s="0" t="s">
        <v>161</v>
      </c>
      <c r="F25" s="0" t="s">
        <v>162</v>
      </c>
      <c r="G25" s="0" t="n">
        <v>705000</v>
      </c>
      <c r="H25" s="0" t="n">
        <v>705000</v>
      </c>
      <c r="I25" s="0" t="n">
        <v>2068</v>
      </c>
      <c r="J25" s="2" t="n">
        <v>0.0352</v>
      </c>
      <c r="K25" s="3" t="s">
        <v>163</v>
      </c>
      <c r="L25" s="3" t="n">
        <f aca="false">G25-H25</f>
        <v>0</v>
      </c>
      <c r="M25" s="2" t="n">
        <f aca="false">IF(G25&gt;0,L25/G25,0)</f>
        <v>0</v>
      </c>
      <c r="N25" s="3" t="n">
        <f aca="false">H25*J25</f>
        <v>24816</v>
      </c>
      <c r="O25" s="3" t="n">
        <f aca="false">H25*B25/100</f>
        <v>352500</v>
      </c>
      <c r="P25" s="3" t="n">
        <f aca="false">I25*B25/100</f>
        <v>1034</v>
      </c>
      <c r="Q25" s="3" t="s">
        <v>164</v>
      </c>
    </row>
    <row r="26" customFormat="false" ht="15" hidden="false" customHeight="false" outlineLevel="0" collapsed="false">
      <c r="A26" s="6" t="s">
        <v>72</v>
      </c>
      <c r="G26" s="3" t="n">
        <f aca="false">SUMPRODUCT(G2:G25,B2:B25/100)</f>
        <v>3123410</v>
      </c>
      <c r="H26" s="3" t="n">
        <f aca="false">SUM(O2:O25)</f>
        <v>2582952.165</v>
      </c>
      <c r="I26" s="3" t="n">
        <f aca="false">SUM(P2:P25)</f>
        <v>12215.81</v>
      </c>
      <c r="L26" s="3" t="n">
        <f aca="false">G26-H26</f>
        <v>540457.835</v>
      </c>
      <c r="M26" s="2" t="n">
        <f aca="false">IF(G26&gt;0,L26/G26,0)</f>
        <v>0.173034547177604</v>
      </c>
      <c r="N26" s="3" t="n">
        <f aca="false">SUMPRODUCT(N2:N25,B2:B25/100)</f>
        <v>57383.0712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  <col collapsed="false" customWidth="true" hidden="false" outlineLevel="0" max="7" min="7" style="0" width="30"/>
    <col collapsed="false" customWidth="true" hidden="false" outlineLevel="0" max="10" min="8" style="0" width="14"/>
    <col collapsed="false" customWidth="true" hidden="false" outlineLevel="0" max="11" min="11" style="0" width="12"/>
    <col collapsed="false" customWidth="true" hidden="false" outlineLevel="0" max="12" min="12" style="0" width="8"/>
    <col collapsed="false" customWidth="true" hidden="false" outlineLevel="0" max="14" min="13" style="0" width="14"/>
    <col collapsed="false" customWidth="true" hidden="false" outlineLevel="0" max="16" min="15" style="0" width="12"/>
    <col collapsed="false" customWidth="true" hidden="false" outlineLevel="0" max="19" min="17" style="0" width="14"/>
    <col collapsed="false" customWidth="true" hidden="false" outlineLevel="0" max="20" min="20" style="0" width="35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165</v>
      </c>
      <c r="D1" s="1" t="s">
        <v>166</v>
      </c>
      <c r="E1" s="1" t="s">
        <v>167</v>
      </c>
      <c r="F1" s="1" t="s">
        <v>74</v>
      </c>
      <c r="G1" s="1" t="s">
        <v>168</v>
      </c>
      <c r="H1" s="1" t="s">
        <v>169</v>
      </c>
      <c r="I1" s="1" t="s">
        <v>78</v>
      </c>
      <c r="J1" s="1" t="s">
        <v>170</v>
      </c>
      <c r="K1" s="1" t="s">
        <v>79</v>
      </c>
      <c r="L1" s="1" t="s">
        <v>80</v>
      </c>
      <c r="M1" s="1" t="s">
        <v>81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85</v>
      </c>
      <c r="S1" s="1" t="s">
        <v>19</v>
      </c>
      <c r="T1" s="1" t="s">
        <v>87</v>
      </c>
    </row>
    <row r="2" customFormat="false" ht="15" hidden="false" customHeight="false" outlineLevel="0" collapsed="false">
      <c r="A2" s="0" t="s">
        <v>23</v>
      </c>
      <c r="B2" s="0" t="n">
        <v>100</v>
      </c>
      <c r="C2" s="0" t="s">
        <v>175</v>
      </c>
      <c r="D2" s="0" t="n">
        <v>240</v>
      </c>
      <c r="E2" s="0" t="s">
        <v>176</v>
      </c>
      <c r="F2" s="0" t="s">
        <v>177</v>
      </c>
      <c r="G2" s="0" t="s">
        <v>178</v>
      </c>
      <c r="H2" s="0" t="n">
        <v>344000</v>
      </c>
      <c r="I2" s="0" t="n">
        <v>344000</v>
      </c>
      <c r="J2" s="0" t="n">
        <v>2100</v>
      </c>
      <c r="K2" s="0" t="n">
        <v>487.33</v>
      </c>
      <c r="L2" s="2" t="n">
        <v>0.017</v>
      </c>
      <c r="M2" s="3" t="s">
        <v>179</v>
      </c>
      <c r="N2" s="0" t="n">
        <v>240000</v>
      </c>
      <c r="O2" s="3" t="n">
        <f aca="false">(J2-K2)*B2/100</f>
        <v>1612.67</v>
      </c>
      <c r="P2" s="3" t="n">
        <f aca="false">O2*12</f>
        <v>19352.04</v>
      </c>
      <c r="Q2" s="3" t="n">
        <f aca="false">J2*B2/100</f>
        <v>2100</v>
      </c>
      <c r="R2" s="3" t="n">
        <f aca="false">I2*B2/100</f>
        <v>344000</v>
      </c>
      <c r="S2" s="3" t="n">
        <f aca="false">N2*B2/100</f>
        <v>240000</v>
      </c>
      <c r="T2" s="3" t="s">
        <v>180</v>
      </c>
    </row>
    <row r="3" customFormat="false" ht="15" hidden="false" customHeight="false" outlineLevel="0" collapsed="false">
      <c r="A3" s="0" t="s">
        <v>181</v>
      </c>
      <c r="B3" s="0" t="n">
        <v>50</v>
      </c>
      <c r="C3" s="0" t="s">
        <v>182</v>
      </c>
      <c r="D3" s="0" t="n">
        <v>200</v>
      </c>
      <c r="E3" s="0" t="s">
        <v>183</v>
      </c>
      <c r="F3" s="0" t="s">
        <v>89</v>
      </c>
      <c r="G3" s="0" t="s">
        <v>184</v>
      </c>
      <c r="H3" s="0" t="n">
        <v>300000</v>
      </c>
      <c r="I3" s="0" t="n">
        <v>277534.52</v>
      </c>
      <c r="J3" s="0" t="n">
        <v>1000</v>
      </c>
      <c r="K3" s="0" t="n">
        <v>2225</v>
      </c>
      <c r="L3" s="2" t="n">
        <v>0.057</v>
      </c>
      <c r="M3" s="3" t="s">
        <v>185</v>
      </c>
      <c r="N3" s="0" t="n">
        <v>300000</v>
      </c>
      <c r="O3" s="3" t="n">
        <f aca="false">(J3-K3)*B3/100</f>
        <v>-612.5</v>
      </c>
      <c r="P3" s="3" t="n">
        <f aca="false">O3*12</f>
        <v>-7350</v>
      </c>
      <c r="Q3" s="3" t="n">
        <f aca="false">J3*B3/100</f>
        <v>500</v>
      </c>
      <c r="R3" s="3" t="n">
        <f aca="false">I3*B3/100</f>
        <v>138767.26</v>
      </c>
      <c r="S3" s="3" t="n">
        <f aca="false">N3*B3/100</f>
        <v>150000</v>
      </c>
    </row>
    <row r="4" customFormat="false" ht="15" hidden="false" customHeight="false" outlineLevel="0" collapsed="false">
      <c r="A4" s="0" t="s">
        <v>23</v>
      </c>
      <c r="B4" s="0" t="n">
        <v>100</v>
      </c>
      <c r="C4" s="0" t="s">
        <v>186</v>
      </c>
      <c r="D4" s="0" t="n">
        <v>400</v>
      </c>
      <c r="E4" s="0" t="s">
        <v>187</v>
      </c>
      <c r="F4" s="0" t="s">
        <v>188</v>
      </c>
      <c r="G4" s="0" t="s">
        <v>189</v>
      </c>
      <c r="H4" s="0" t="n">
        <v>344000</v>
      </c>
      <c r="I4" s="0" t="n">
        <v>343115.47</v>
      </c>
      <c r="J4" s="0" t="n">
        <v>1500</v>
      </c>
      <c r="K4" s="0" t="n">
        <v>2315</v>
      </c>
      <c r="L4" s="2" t="n">
        <v>0.0499</v>
      </c>
      <c r="M4" s="3" t="s">
        <v>163</v>
      </c>
      <c r="N4" s="0" t="n">
        <v>344000</v>
      </c>
      <c r="O4" s="3" t="n">
        <f aca="false">(J4-K4)*B4/100</f>
        <v>-815</v>
      </c>
      <c r="P4" s="3" t="n">
        <f aca="false">O4*12</f>
        <v>-9780</v>
      </c>
      <c r="Q4" s="3" t="n">
        <f aca="false">J4*B4/100</f>
        <v>1500</v>
      </c>
      <c r="R4" s="3" t="n">
        <f aca="false">I4*B4/100</f>
        <v>343115.47</v>
      </c>
      <c r="S4" s="3" t="n">
        <f aca="false">N4*B4/100</f>
        <v>344000</v>
      </c>
    </row>
    <row r="5" customFormat="false" ht="15" hidden="false" customHeight="false" outlineLevel="0" collapsed="false">
      <c r="A5" s="6" t="s">
        <v>72</v>
      </c>
      <c r="D5" s="3" t="n">
        <f aca="false">SUMPRODUCT(D2:D4,B2:B4/100)</f>
        <v>740</v>
      </c>
      <c r="H5" s="3" t="n">
        <f aca="false">SUMPRODUCT(H2:H4,B2:B4/100)</f>
        <v>838000</v>
      </c>
      <c r="I5" s="3" t="n">
        <f aca="false">SUM(R2:R4)</f>
        <v>825882.73</v>
      </c>
      <c r="J5" s="3" t="n">
        <f aca="false">SUM(Q2:Q4)</f>
        <v>4100</v>
      </c>
      <c r="K5" s="3" t="n">
        <f aca="false">SUMPRODUCT(K2:K4,B2:B4/100)</f>
        <v>3914.83</v>
      </c>
      <c r="N5" s="3" t="n">
        <f aca="false">SUM(S2:S4)</f>
        <v>734000</v>
      </c>
      <c r="O5" s="3" t="n">
        <f aca="false">SUM(O2:O4)</f>
        <v>185.17</v>
      </c>
      <c r="P5" s="3" t="n">
        <f aca="false">O5*12</f>
        <v>2222.04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6" min="5" style="0" width="18"/>
    <col collapsed="false" customWidth="true" hidden="false" outlineLevel="0" max="8" min="7" style="0" width="16"/>
    <col collapsed="false" customWidth="true" hidden="false" outlineLevel="0" max="10" min="9" style="0" width="18"/>
    <col collapsed="false" customWidth="true" hidden="false" outlineLevel="0" max="11" min="11" style="0" width="16"/>
  </cols>
  <sheetData>
    <row r="1" customFormat="false" ht="23.85" hidden="false" customHeight="false" outlineLevel="0" collapsed="false">
      <c r="A1" s="1" t="s">
        <v>73</v>
      </c>
      <c r="B1" s="1" t="s">
        <v>1</v>
      </c>
      <c r="C1" s="1" t="s">
        <v>8</v>
      </c>
      <c r="D1" s="1" t="s">
        <v>9</v>
      </c>
      <c r="E1" s="1" t="s">
        <v>190</v>
      </c>
      <c r="F1" s="1" t="s">
        <v>22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</row>
    <row r="2" customFormat="false" ht="15" hidden="false" customHeight="false" outlineLevel="0" collapsed="false">
      <c r="A2" s="0" t="s">
        <v>88</v>
      </c>
      <c r="B2" s="0" t="n">
        <v>100</v>
      </c>
      <c r="C2" s="0" t="n">
        <v>2433</v>
      </c>
      <c r="D2" s="0" t="n">
        <v>548</v>
      </c>
      <c r="E2" s="0" t="n">
        <v>1224.83</v>
      </c>
      <c r="F2" s="0" t="n">
        <v>204</v>
      </c>
      <c r="G2" s="0" t="n">
        <f aca="false">C2-E2-F2</f>
        <v>1004.17</v>
      </c>
      <c r="H2" s="0" t="n">
        <f aca="false">G2*12</f>
        <v>12050.04</v>
      </c>
      <c r="I2" s="0" t="n">
        <f aca="false">G2*B2/100</f>
        <v>1004.17</v>
      </c>
      <c r="J2" s="0" t="n">
        <f aca="false">I2*12</f>
        <v>12050.04</v>
      </c>
      <c r="K2" s="2" t="n">
        <f aca="false">IF(95000&gt;0,J2/95000,"-")</f>
        <v>0.126842526315789</v>
      </c>
    </row>
    <row r="3" customFormat="false" ht="15" hidden="false" customHeight="false" outlineLevel="0" collapsed="false">
      <c r="A3" s="0" t="s">
        <v>100</v>
      </c>
      <c r="B3" s="0" t="n">
        <v>100</v>
      </c>
      <c r="C3" s="0" t="n">
        <v>2790</v>
      </c>
      <c r="D3" s="0" t="n">
        <v>552</v>
      </c>
      <c r="E3" s="0" t="n">
        <v>2865.52</v>
      </c>
      <c r="F3" s="0" t="n">
        <v>287</v>
      </c>
      <c r="G3" s="0" t="n">
        <f aca="false">C3-E3-F3</f>
        <v>-362.52</v>
      </c>
      <c r="H3" s="0" t="n">
        <f aca="false">G3*12</f>
        <v>-4350.24</v>
      </c>
      <c r="I3" s="0" t="n">
        <f aca="false">G3*B3/100</f>
        <v>-362.52</v>
      </c>
      <c r="J3" s="0" t="n">
        <f aca="false">I3*12</f>
        <v>-4350.24</v>
      </c>
      <c r="K3" s="2" t="n">
        <f aca="false">IF(60000&gt;0,J3/60000,"-")</f>
        <v>-0.072504</v>
      </c>
    </row>
    <row r="4" customFormat="false" ht="15" hidden="false" customHeight="false" outlineLevel="0" collapsed="false">
      <c r="A4" s="0" t="s">
        <v>113</v>
      </c>
      <c r="B4" s="0" t="n">
        <v>100</v>
      </c>
      <c r="C4" s="0" t="n">
        <v>450</v>
      </c>
      <c r="D4" s="0" t="n">
        <v>100</v>
      </c>
      <c r="E4" s="0" t="n">
        <v>203.96</v>
      </c>
      <c r="F4" s="0" t="n">
        <v>38</v>
      </c>
      <c r="G4" s="0" t="n">
        <f aca="false">C4-E4-F4</f>
        <v>208.04</v>
      </c>
      <c r="H4" s="0" t="n">
        <f aca="false">G4*12</f>
        <v>2496.48</v>
      </c>
      <c r="I4" s="0" t="n">
        <f aca="false">G4*B4/100</f>
        <v>208.04</v>
      </c>
      <c r="J4" s="0" t="n">
        <f aca="false">I4*12</f>
        <v>2496.48</v>
      </c>
      <c r="K4" s="2" t="n">
        <f aca="false">IF(10000&gt;0,J4/10000,"-")</f>
        <v>0.249648</v>
      </c>
    </row>
    <row r="5" customFormat="false" ht="15" hidden="false" customHeight="false" outlineLevel="0" collapsed="false">
      <c r="A5" s="0" t="s">
        <v>117</v>
      </c>
      <c r="B5" s="0" t="n">
        <v>100</v>
      </c>
      <c r="C5" s="0" t="n">
        <v>580</v>
      </c>
      <c r="D5" s="0" t="n">
        <v>80</v>
      </c>
      <c r="E5" s="0" t="n">
        <v>282.9</v>
      </c>
      <c r="F5" s="0" t="n">
        <v>50</v>
      </c>
      <c r="G5" s="0" t="n">
        <f aca="false">C5-E5-F5</f>
        <v>247.1</v>
      </c>
      <c r="H5" s="0" t="n">
        <f aca="false">G5*12</f>
        <v>2965.2</v>
      </c>
      <c r="I5" s="0" t="n">
        <f aca="false">G5*B5/100</f>
        <v>247.1</v>
      </c>
      <c r="J5" s="0" t="n">
        <f aca="false">I5*12</f>
        <v>2965.2</v>
      </c>
      <c r="K5" s="2" t="n">
        <f aca="false">IF(10000&gt;0,J5/10000,"-")</f>
        <v>0.29652</v>
      </c>
    </row>
    <row r="6" customFormat="false" ht="15" hidden="false" customHeight="false" outlineLevel="0" collapsed="false">
      <c r="A6" s="0" t="s">
        <v>37</v>
      </c>
      <c r="B6" s="0" t="n">
        <v>100</v>
      </c>
      <c r="C6" s="0" t="n">
        <v>564</v>
      </c>
      <c r="D6" s="0" t="n">
        <v>200</v>
      </c>
      <c r="E6" s="0" t="n">
        <v>270</v>
      </c>
      <c r="F6" s="0" t="n">
        <v>39</v>
      </c>
      <c r="G6" s="0" t="n">
        <f aca="false">C6-E6-F6</f>
        <v>255</v>
      </c>
      <c r="H6" s="0" t="n">
        <f aca="false">G6*12</f>
        <v>3060</v>
      </c>
      <c r="I6" s="0" t="n">
        <f aca="false">G6*B6/100</f>
        <v>255</v>
      </c>
      <c r="J6" s="0" t="n">
        <f aca="false">I6*12</f>
        <v>3060</v>
      </c>
      <c r="K6" s="2" t="n">
        <f aca="false">IF(10000&gt;0,J6/10000,"-")</f>
        <v>0.306</v>
      </c>
    </row>
    <row r="7" customFormat="false" ht="15" hidden="false" customHeight="false" outlineLevel="0" collapsed="false">
      <c r="A7" s="0" t="s">
        <v>127</v>
      </c>
      <c r="B7" s="0" t="n">
        <v>100</v>
      </c>
      <c r="C7" s="0" t="n">
        <v>1604.37</v>
      </c>
      <c r="D7" s="0" t="n">
        <v>929.74</v>
      </c>
      <c r="E7" s="0" t="n">
        <v>1391.41</v>
      </c>
      <c r="F7" s="0" t="n">
        <v>197</v>
      </c>
      <c r="G7" s="0" t="n">
        <f aca="false">C7-E7-F7</f>
        <v>15.9599999999998</v>
      </c>
      <c r="H7" s="0" t="n">
        <f aca="false">G7*12</f>
        <v>191.519999999998</v>
      </c>
      <c r="I7" s="0" t="n">
        <f aca="false">G7*B7/100</f>
        <v>15.9599999999998</v>
      </c>
      <c r="J7" s="0" t="n">
        <f aca="false">I7*12</f>
        <v>191.519999999998</v>
      </c>
      <c r="K7" s="2" t="n">
        <f aca="false">IF(45000&gt;0,J7/45000,"-")</f>
        <v>0.00425599999999995</v>
      </c>
    </row>
    <row r="8" customFormat="false" ht="15" hidden="false" customHeight="false" outlineLevel="0" collapsed="false">
      <c r="A8" s="0" t="s">
        <v>46</v>
      </c>
      <c r="B8" s="0" t="n">
        <v>100</v>
      </c>
      <c r="C8" s="0" t="n">
        <v>0</v>
      </c>
      <c r="D8" s="0" t="n">
        <v>0</v>
      </c>
      <c r="E8" s="0" t="n">
        <v>0</v>
      </c>
      <c r="F8" s="0" t="n">
        <v>71</v>
      </c>
      <c r="G8" s="0" t="n">
        <f aca="false">C8-E8-F8</f>
        <v>-71</v>
      </c>
      <c r="H8" s="0" t="n">
        <f aca="false">G8*12</f>
        <v>-852</v>
      </c>
      <c r="I8" s="0" t="n">
        <f aca="false">G8*B8/100</f>
        <v>-71</v>
      </c>
      <c r="J8" s="0" t="n">
        <f aca="false">I8*12</f>
        <v>-852</v>
      </c>
      <c r="K8" s="2" t="n">
        <f aca="false">IF(180000&gt;0,J8/180000,"-")</f>
        <v>-0.00473333333333333</v>
      </c>
    </row>
    <row r="9" customFormat="false" ht="15" hidden="false" customHeight="false" outlineLevel="0" collapsed="false">
      <c r="A9" s="0" t="s">
        <v>50</v>
      </c>
      <c r="B9" s="0" t="n">
        <v>100</v>
      </c>
      <c r="C9" s="0" t="n">
        <v>0</v>
      </c>
      <c r="D9" s="0" t="n">
        <v>0</v>
      </c>
      <c r="E9" s="0" t="n">
        <v>1405.54</v>
      </c>
      <c r="F9" s="0" t="n">
        <v>125</v>
      </c>
      <c r="G9" s="0" t="n">
        <f aca="false">C9-E9-F9</f>
        <v>-1530.54</v>
      </c>
      <c r="H9" s="0" t="n">
        <f aca="false">G9*12</f>
        <v>-18366.48</v>
      </c>
      <c r="I9" s="0" t="n">
        <f aca="false">G9*B9/100</f>
        <v>-1530.54</v>
      </c>
      <c r="J9" s="0" t="n">
        <f aca="false">I9*12</f>
        <v>-18366.48</v>
      </c>
      <c r="K9" s="2" t="n">
        <f aca="false">IF(80000&gt;0,J9/80000,"-")</f>
        <v>-0.229581</v>
      </c>
    </row>
    <row r="10" customFormat="false" ht="15" hidden="false" customHeight="false" outlineLevel="0" collapsed="false">
      <c r="A10" s="0" t="s">
        <v>196</v>
      </c>
      <c r="B10" s="0" t="n">
        <v>100</v>
      </c>
      <c r="C10" s="0" t="n">
        <v>300</v>
      </c>
      <c r="D10" s="0" t="n">
        <v>160</v>
      </c>
      <c r="E10" s="0" t="n">
        <v>95</v>
      </c>
      <c r="F10" s="0" t="n">
        <v>33</v>
      </c>
      <c r="G10" s="0" t="n">
        <f aca="false">C10-E10-F10</f>
        <v>172</v>
      </c>
      <c r="H10" s="0" t="n">
        <f aca="false">G10*12</f>
        <v>2064</v>
      </c>
      <c r="I10" s="0" t="n">
        <f aca="false">G10*B10/100</f>
        <v>172</v>
      </c>
      <c r="J10" s="0" t="n">
        <f aca="false">I10*12</f>
        <v>2064</v>
      </c>
      <c r="K10" s="2" t="n">
        <f aca="false">IF(5000&gt;0,J10/5000,"-")</f>
        <v>0.4128</v>
      </c>
    </row>
    <row r="11" customFormat="false" ht="15" hidden="false" customHeight="false" outlineLevel="0" collapsed="false">
      <c r="A11" s="0" t="s">
        <v>143</v>
      </c>
      <c r="B11" s="0" t="n">
        <v>50</v>
      </c>
      <c r="C11" s="0" t="n">
        <v>4932</v>
      </c>
      <c r="D11" s="0" t="n">
        <v>1072</v>
      </c>
      <c r="E11" s="0" t="n">
        <v>2820</v>
      </c>
      <c r="F11" s="0" t="n">
        <v>530</v>
      </c>
      <c r="G11" s="0" t="n">
        <f aca="false">C11-E11-F11</f>
        <v>1582</v>
      </c>
      <c r="H11" s="0" t="n">
        <f aca="false">G11*12</f>
        <v>18984</v>
      </c>
      <c r="I11" s="0" t="n">
        <f aca="false">G11*B11/100</f>
        <v>791</v>
      </c>
      <c r="J11" s="0" t="n">
        <f aca="false">I11*12</f>
        <v>9492</v>
      </c>
      <c r="K11" s="2" t="n">
        <f aca="false">IF(100000&gt;0,J11/100000,"-")</f>
        <v>0.09492</v>
      </c>
    </row>
    <row r="12" customFormat="false" ht="15" hidden="false" customHeight="false" outlineLevel="0" collapsed="false">
      <c r="A12" s="0" t="s">
        <v>147</v>
      </c>
      <c r="B12" s="0" t="n">
        <v>50</v>
      </c>
      <c r="C12" s="0" t="n">
        <v>3629</v>
      </c>
      <c r="D12" s="0" t="n">
        <v>830</v>
      </c>
      <c r="E12" s="0" t="n">
        <v>1700</v>
      </c>
      <c r="F12" s="0" t="n">
        <v>369</v>
      </c>
      <c r="G12" s="0" t="n">
        <f aca="false">C12-E12-F12</f>
        <v>1560</v>
      </c>
      <c r="H12" s="0" t="n">
        <f aca="false">G12*12</f>
        <v>18720</v>
      </c>
      <c r="I12" s="0" t="n">
        <f aca="false">G12*B12/100</f>
        <v>780</v>
      </c>
      <c r="J12" s="0" t="n">
        <f aca="false">I12*12</f>
        <v>9360</v>
      </c>
      <c r="K12" s="2" t="n">
        <f aca="false">IF(60000&gt;0,J12/60000,"-")</f>
        <v>0.156</v>
      </c>
    </row>
    <row r="13" customFormat="false" ht="15" hidden="false" customHeight="false" outlineLevel="0" collapsed="false">
      <c r="A13" s="0" t="s">
        <v>197</v>
      </c>
      <c r="B13" s="0" t="n">
        <v>50</v>
      </c>
      <c r="C13" s="0" t="n">
        <v>0</v>
      </c>
      <c r="D13" s="0" t="n">
        <v>0</v>
      </c>
      <c r="E13" s="0" t="n">
        <v>1045</v>
      </c>
      <c r="F13" s="0" t="n">
        <v>0</v>
      </c>
      <c r="G13" s="0" t="n">
        <f aca="false">C13-E13-F13</f>
        <v>-1045</v>
      </c>
      <c r="H13" s="0" t="n">
        <f aca="false">G13*12</f>
        <v>-12540</v>
      </c>
      <c r="I13" s="0" t="n">
        <f aca="false">G13*B13/100</f>
        <v>-522.5</v>
      </c>
      <c r="J13" s="0" t="n">
        <f aca="false">I13*12</f>
        <v>-6270</v>
      </c>
      <c r="K13" s="0" t="s">
        <v>198</v>
      </c>
    </row>
    <row r="14" customFormat="false" ht="15" hidden="false" customHeight="false" outlineLevel="0" collapsed="false">
      <c r="A14" s="0" t="s">
        <v>154</v>
      </c>
      <c r="B14" s="0" t="n">
        <v>50</v>
      </c>
      <c r="C14" s="0" t="n">
        <v>800</v>
      </c>
      <c r="D14" s="0" t="n">
        <v>200</v>
      </c>
      <c r="E14" s="0" t="n">
        <v>792.07</v>
      </c>
      <c r="F14" s="0" t="n">
        <v>63</v>
      </c>
      <c r="G14" s="0" t="n">
        <f aca="false">C14-E14-F14</f>
        <v>-55.0700000000001</v>
      </c>
      <c r="H14" s="0" t="n">
        <f aca="false">G14*12</f>
        <v>-660.840000000001</v>
      </c>
      <c r="I14" s="0" t="n">
        <f aca="false">G14*B14/100</f>
        <v>-27.535</v>
      </c>
      <c r="J14" s="0" t="n">
        <f aca="false">I14*12</f>
        <v>-330.42</v>
      </c>
      <c r="K14" s="2" t="n">
        <f aca="false">IF(30000&gt;0,J14/30000,"-")</f>
        <v>-0.011014</v>
      </c>
    </row>
    <row r="15" customFormat="false" ht="15" hidden="false" customHeight="false" outlineLevel="0" collapsed="false">
      <c r="A15" s="0" t="s">
        <v>158</v>
      </c>
      <c r="B15" s="0" t="n">
        <v>50</v>
      </c>
      <c r="C15" s="0" t="n">
        <v>500</v>
      </c>
      <c r="D15" s="0" t="n">
        <v>60</v>
      </c>
      <c r="E15" s="0" t="n">
        <v>528.23</v>
      </c>
      <c r="F15" s="0" t="n">
        <v>35</v>
      </c>
      <c r="G15" s="0" t="n">
        <f aca="false">C15-E15-F15</f>
        <v>-63.23</v>
      </c>
      <c r="H15" s="0" t="n">
        <f aca="false">G15*12</f>
        <v>-758.76</v>
      </c>
      <c r="I15" s="0" t="n">
        <f aca="false">G15*B15/100</f>
        <v>-31.615</v>
      </c>
      <c r="J15" s="0" t="n">
        <f aca="false">I15*12</f>
        <v>-379.38</v>
      </c>
      <c r="K15" s="2" t="n">
        <f aca="false">IF(20000&gt;0,J15/20000,"-")</f>
        <v>-0.018969</v>
      </c>
    </row>
    <row r="16" customFormat="false" ht="15" hidden="false" customHeight="false" outlineLevel="0" collapsed="false">
      <c r="A16" s="0" t="s">
        <v>199</v>
      </c>
      <c r="B16" s="0" t="n">
        <v>50</v>
      </c>
      <c r="C16" s="0" t="n">
        <v>250</v>
      </c>
      <c r="D16" s="0" t="n">
        <v>70</v>
      </c>
      <c r="E16" s="0" t="n">
        <v>0</v>
      </c>
      <c r="F16" s="0" t="n">
        <v>39</v>
      </c>
      <c r="G16" s="0" t="n">
        <f aca="false">C16-E16-F16</f>
        <v>211</v>
      </c>
      <c r="H16" s="0" t="n">
        <f aca="false">G16*12</f>
        <v>2532</v>
      </c>
      <c r="I16" s="0" t="n">
        <f aca="false">G16*B16/100</f>
        <v>105.5</v>
      </c>
      <c r="J16" s="0" t="n">
        <f aca="false">I16*12</f>
        <v>1266</v>
      </c>
      <c r="K16" s="0" t="s">
        <v>198</v>
      </c>
    </row>
    <row r="17" customFormat="false" ht="15" hidden="false" customHeight="false" outlineLevel="0" collapsed="false">
      <c r="A17" s="0" t="s">
        <v>70</v>
      </c>
      <c r="B17" s="0" t="n">
        <v>50</v>
      </c>
      <c r="C17" s="0" t="n">
        <v>2470</v>
      </c>
      <c r="D17" s="0" t="n">
        <v>603</v>
      </c>
      <c r="E17" s="0" t="n">
        <v>2068</v>
      </c>
      <c r="F17" s="0" t="n">
        <v>290</v>
      </c>
      <c r="G17" s="0" t="n">
        <f aca="false">C17-E17-F17</f>
        <v>112</v>
      </c>
      <c r="H17" s="0" t="n">
        <f aca="false">G17*12</f>
        <v>1344</v>
      </c>
      <c r="I17" s="0" t="n">
        <f aca="false">G17*B17/100</f>
        <v>56</v>
      </c>
      <c r="J17" s="0" t="n">
        <f aca="false">I17*12</f>
        <v>672</v>
      </c>
      <c r="K17" s="2" t="n">
        <f aca="false">IF(50000&gt;0,J17/50000,"-")</f>
        <v>0.01344</v>
      </c>
    </row>
    <row r="18" customFormat="false" ht="15" hidden="false" customHeight="false" outlineLevel="0" collapsed="false">
      <c r="A18" s="6" t="s">
        <v>72</v>
      </c>
      <c r="C18" s="3" t="n">
        <f aca="false">SUMPRODUCT(C2:C17,B2:B17/100)</f>
        <v>15011.87</v>
      </c>
      <c r="E18" s="3" t="n">
        <f aca="false">SUMPRODUCT(E2:E17,B2:B17/100)</f>
        <v>12215.81</v>
      </c>
      <c r="F18" s="3" t="n">
        <f aca="false">SUMPRODUCT(F2:F17,B2:B17/100)</f>
        <v>1707</v>
      </c>
      <c r="I18" s="3" t="n">
        <f aca="false">SUM(I2:I17)</f>
        <v>1089.06</v>
      </c>
      <c r="J18" s="3" t="n">
        <f aca="false">I18*12</f>
        <v>13068.72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7" t="s">
        <v>200</v>
      </c>
      <c r="B1" s="7"/>
      <c r="C1" s="7"/>
      <c r="D1" s="7"/>
      <c r="E1" s="7"/>
      <c r="F1" s="7"/>
      <c r="G1" s="7"/>
    </row>
    <row r="3" customFormat="false" ht="23.85" hidden="false" customHeight="false" outlineLevel="0" collapsed="false">
      <c r="A3" s="1" t="s">
        <v>73</v>
      </c>
      <c r="B3" s="1" t="s">
        <v>201</v>
      </c>
      <c r="C3" s="1" t="s">
        <v>202</v>
      </c>
      <c r="D3" s="1" t="s">
        <v>203</v>
      </c>
      <c r="E3" s="1" t="s">
        <v>12</v>
      </c>
      <c r="F3" s="1" t="s">
        <v>204</v>
      </c>
      <c r="G3" s="1" t="s">
        <v>205</v>
      </c>
      <c r="H3" s="1" t="s">
        <v>206</v>
      </c>
    </row>
    <row r="4" customFormat="false" ht="15" hidden="false" customHeight="false" outlineLevel="0" collapsed="false">
      <c r="A4" s="0" t="s">
        <v>88</v>
      </c>
      <c r="B4" s="0" t="n">
        <v>380000</v>
      </c>
      <c r="C4" s="2" t="n">
        <v>0.8</v>
      </c>
      <c r="D4" s="2" t="n">
        <v>0.02</v>
      </c>
      <c r="E4" s="0" t="n">
        <v>2015</v>
      </c>
      <c r="F4" s="0" t="n">
        <v>40</v>
      </c>
      <c r="G4" s="3" t="n">
        <f aca="false">B4*C4*D4</f>
        <v>6080</v>
      </c>
      <c r="H4" s="3" t="n">
        <f aca="false">G4*(2026-E4)</f>
        <v>66880</v>
      </c>
    </row>
    <row r="5" customFormat="false" ht="15" hidden="false" customHeight="false" outlineLevel="0" collapsed="false">
      <c r="A5" s="0" t="s">
        <v>100</v>
      </c>
      <c r="B5" s="0" t="n">
        <v>480000</v>
      </c>
      <c r="C5" s="2" t="n">
        <v>0.8</v>
      </c>
      <c r="D5" s="2" t="n">
        <v>0.02</v>
      </c>
      <c r="E5" s="0" t="n">
        <v>2016</v>
      </c>
      <c r="F5" s="0" t="n">
        <v>41</v>
      </c>
      <c r="G5" s="3" t="n">
        <f aca="false">B5*C5*D5</f>
        <v>7680</v>
      </c>
      <c r="H5" s="3" t="n">
        <f aca="false">G5*(2026-E5)</f>
        <v>76800</v>
      </c>
    </row>
    <row r="6" customFormat="false" ht="15" hidden="false" customHeight="false" outlineLevel="0" collapsed="false">
      <c r="A6" s="0" t="s">
        <v>113</v>
      </c>
      <c r="B6" s="0" t="n">
        <v>55000</v>
      </c>
      <c r="C6" s="2" t="n">
        <v>0.8</v>
      </c>
      <c r="D6" s="2" t="n">
        <v>0.02</v>
      </c>
      <c r="E6" s="0" t="n">
        <v>2020</v>
      </c>
      <c r="F6" s="0" t="n">
        <v>45</v>
      </c>
      <c r="G6" s="3" t="n">
        <f aca="false">B6*C6*D6</f>
        <v>880</v>
      </c>
      <c r="H6" s="3" t="n">
        <f aca="false">G6*(2026-E6)</f>
        <v>5280</v>
      </c>
    </row>
    <row r="7" customFormat="false" ht="15" hidden="false" customHeight="false" outlineLevel="0" collapsed="false">
      <c r="A7" s="0" t="s">
        <v>117</v>
      </c>
      <c r="B7" s="0" t="n">
        <v>58000</v>
      </c>
      <c r="C7" s="2" t="n">
        <v>0.8</v>
      </c>
      <c r="D7" s="2" t="n">
        <v>0.02</v>
      </c>
      <c r="E7" s="0" t="n">
        <v>2022</v>
      </c>
      <c r="F7" s="0" t="n">
        <v>47</v>
      </c>
      <c r="G7" s="3" t="n">
        <f aca="false">B7*C7*D7</f>
        <v>928</v>
      </c>
      <c r="H7" s="3" t="n">
        <f aca="false">G7*(2026-E7)</f>
        <v>3712</v>
      </c>
    </row>
    <row r="8" customFormat="false" ht="15" hidden="false" customHeight="false" outlineLevel="0" collapsed="false">
      <c r="A8" s="0" t="s">
        <v>37</v>
      </c>
      <c r="B8" s="0" t="n">
        <v>60000</v>
      </c>
      <c r="C8" s="2" t="n">
        <v>0.8</v>
      </c>
      <c r="D8" s="2" t="n">
        <v>0.02</v>
      </c>
      <c r="E8" s="0" t="n">
        <v>2022</v>
      </c>
      <c r="F8" s="0" t="n">
        <v>47</v>
      </c>
      <c r="G8" s="3" t="n">
        <f aca="false">B8*C8*D8</f>
        <v>960</v>
      </c>
      <c r="H8" s="3" t="n">
        <f aca="false">G8*(2026-E8)</f>
        <v>3840</v>
      </c>
    </row>
    <row r="9" customFormat="false" ht="15" hidden="false" customHeight="false" outlineLevel="0" collapsed="false">
      <c r="A9" s="0" t="s">
        <v>127</v>
      </c>
      <c r="B9" s="0" t="n">
        <v>270000</v>
      </c>
      <c r="C9" s="2" t="n">
        <v>0.8</v>
      </c>
      <c r="D9" s="2" t="n">
        <v>0.02</v>
      </c>
      <c r="E9" s="0" t="n">
        <v>2016</v>
      </c>
      <c r="F9" s="0" t="n">
        <v>41</v>
      </c>
      <c r="G9" s="3" t="n">
        <f aca="false">B9*C9*D9</f>
        <v>4320</v>
      </c>
      <c r="H9" s="3" t="n">
        <f aca="false">G9*(2026-E9)</f>
        <v>43200</v>
      </c>
    </row>
    <row r="10" customFormat="false" ht="15" hidden="false" customHeight="false" outlineLevel="0" collapsed="false">
      <c r="A10" s="0" t="s">
        <v>46</v>
      </c>
      <c r="B10" s="0" t="n">
        <v>180000</v>
      </c>
      <c r="C10" s="2" t="n">
        <v>0.8</v>
      </c>
      <c r="D10" s="2" t="n">
        <v>0.02</v>
      </c>
      <c r="E10" s="0" t="n">
        <v>2023</v>
      </c>
      <c r="F10" s="0" t="n">
        <v>48</v>
      </c>
      <c r="G10" s="3" t="n">
        <f aca="false">B10*C10*D10</f>
        <v>2880</v>
      </c>
      <c r="H10" s="3" t="n">
        <f aca="false">G10*(2026-E10)</f>
        <v>8640</v>
      </c>
    </row>
    <row r="11" customFormat="false" ht="15" hidden="false" customHeight="false" outlineLevel="0" collapsed="false">
      <c r="A11" s="0" t="s">
        <v>50</v>
      </c>
      <c r="B11" s="0" t="n">
        <v>480000</v>
      </c>
      <c r="C11" s="2" t="n">
        <v>0.8</v>
      </c>
      <c r="D11" s="2" t="n">
        <v>0.02</v>
      </c>
      <c r="E11" s="0" t="n">
        <v>2021</v>
      </c>
      <c r="F11" s="0" t="n">
        <v>46</v>
      </c>
      <c r="G11" s="3" t="n">
        <f aca="false">B11*C11*D11</f>
        <v>7680</v>
      </c>
      <c r="H11" s="3" t="n">
        <f aca="false">G11*(2026-E11)</f>
        <v>38400</v>
      </c>
    </row>
    <row r="12" customFormat="false" ht="15" hidden="false" customHeight="false" outlineLevel="0" collapsed="false">
      <c r="A12" s="0" t="s">
        <v>196</v>
      </c>
      <c r="B12" s="0" t="n">
        <v>37500</v>
      </c>
      <c r="C12" s="2" t="n">
        <v>0.8</v>
      </c>
      <c r="D12" s="2" t="n">
        <v>0.02</v>
      </c>
      <c r="E12" s="0" t="n">
        <v>2017</v>
      </c>
      <c r="F12" s="0" t="n">
        <v>42</v>
      </c>
      <c r="G12" s="3" t="n">
        <f aca="false">B12*C12*D12</f>
        <v>600</v>
      </c>
      <c r="H12" s="3" t="n">
        <f aca="false">G12*(2026-E12)</f>
        <v>5400</v>
      </c>
    </row>
    <row r="13" customFormat="false" ht="15" hidden="false" customHeight="false" outlineLevel="0" collapsed="false">
      <c r="A13" s="0" t="s">
        <v>207</v>
      </c>
      <c r="B13" s="0" t="n">
        <v>325000</v>
      </c>
      <c r="C13" s="2" t="n">
        <v>0.8</v>
      </c>
      <c r="D13" s="2" t="n">
        <v>0.02</v>
      </c>
      <c r="E13" s="0" t="n">
        <v>2017</v>
      </c>
      <c r="F13" s="0" t="n">
        <v>42</v>
      </c>
      <c r="G13" s="3" t="n">
        <f aca="false">B13*C13*D13</f>
        <v>5200</v>
      </c>
      <c r="H13" s="3" t="n">
        <f aca="false">G13*(2026-E13)</f>
        <v>46800</v>
      </c>
    </row>
    <row r="14" customFormat="false" ht="15" hidden="false" customHeight="false" outlineLevel="0" collapsed="false">
      <c r="A14" s="0" t="s">
        <v>208</v>
      </c>
      <c r="B14" s="0" t="n">
        <v>195000</v>
      </c>
      <c r="C14" s="2" t="n">
        <v>0.8</v>
      </c>
      <c r="D14" s="2" t="n">
        <v>0.02</v>
      </c>
      <c r="E14" s="0" t="n">
        <v>2017</v>
      </c>
      <c r="F14" s="0" t="n">
        <v>42</v>
      </c>
      <c r="G14" s="3" t="n">
        <f aca="false">B14*C14*D14</f>
        <v>3120</v>
      </c>
      <c r="H14" s="3" t="n">
        <f aca="false">G14*(2026-E14)</f>
        <v>28080</v>
      </c>
    </row>
    <row r="15" customFormat="false" ht="15" hidden="false" customHeight="false" outlineLevel="0" collapsed="false">
      <c r="A15" s="0" t="s">
        <v>209</v>
      </c>
      <c r="B15" s="0" t="n">
        <v>79500</v>
      </c>
      <c r="C15" s="2" t="n">
        <v>0.8</v>
      </c>
      <c r="D15" s="2" t="n">
        <v>0.02</v>
      </c>
      <c r="E15" s="0" t="n">
        <v>2022</v>
      </c>
      <c r="F15" s="0" t="n">
        <v>47</v>
      </c>
      <c r="G15" s="3" t="n">
        <f aca="false">B15*C15*D15</f>
        <v>1272</v>
      </c>
      <c r="H15" s="3" t="n">
        <f aca="false">G15*(2026-E15)</f>
        <v>5088</v>
      </c>
    </row>
    <row r="16" customFormat="false" ht="15" hidden="false" customHeight="false" outlineLevel="0" collapsed="false">
      <c r="A16" s="0" t="s">
        <v>210</v>
      </c>
      <c r="B16" s="0" t="n">
        <v>53000</v>
      </c>
      <c r="C16" s="2" t="n">
        <v>0.8</v>
      </c>
      <c r="D16" s="2" t="n">
        <v>0.02</v>
      </c>
      <c r="E16" s="0" t="n">
        <v>2022</v>
      </c>
      <c r="F16" s="0" t="n">
        <v>47</v>
      </c>
      <c r="G16" s="3" t="n">
        <f aca="false">B16*C16*D16</f>
        <v>848</v>
      </c>
      <c r="H16" s="3" t="n">
        <f aca="false">G16*(2026-E16)</f>
        <v>3392</v>
      </c>
    </row>
    <row r="17" customFormat="false" ht="15" hidden="false" customHeight="false" outlineLevel="0" collapsed="false">
      <c r="A17" s="0" t="s">
        <v>211</v>
      </c>
      <c r="B17" s="0" t="n">
        <v>352500</v>
      </c>
      <c r="C17" s="2" t="n">
        <v>0.8</v>
      </c>
      <c r="D17" s="2" t="n">
        <v>0.03</v>
      </c>
      <c r="E17" s="0" t="n">
        <v>2024</v>
      </c>
      <c r="F17" s="0" t="n">
        <v>50</v>
      </c>
      <c r="G17" s="3" t="n">
        <f aca="false">B17*C17*D17</f>
        <v>8460</v>
      </c>
      <c r="H17" s="3" t="n">
        <f aca="false">G17*(2026-E17)</f>
        <v>16920</v>
      </c>
    </row>
    <row r="18" customFormat="false" ht="15" hidden="false" customHeight="false" outlineLevel="0" collapsed="false">
      <c r="A18" s="6" t="s">
        <v>212</v>
      </c>
      <c r="G18" s="3" t="n">
        <f aca="false">SUM(G4:G17)</f>
        <v>50908</v>
      </c>
      <c r="H18" s="3" t="n">
        <f aca="false">SUM(H4:H17)</f>
        <v>352432</v>
      </c>
    </row>
    <row r="21" customFormat="false" ht="15" hidden="false" customHeight="false" outlineLevel="0" collapsed="false">
      <c r="A21" s="8" t="s">
        <v>213</v>
      </c>
    </row>
    <row r="23" customFormat="false" ht="15" hidden="false" customHeight="false" outlineLevel="0" collapsed="false">
      <c r="A23" s="0" t="s">
        <v>214</v>
      </c>
      <c r="C23" s="9" t="n">
        <f aca="false">2_Darlehen!N26</f>
        <v>57383.0712</v>
      </c>
    </row>
    <row r="24" customFormat="false" ht="15" hidden="false" customHeight="false" outlineLevel="0" collapsed="false">
      <c r="A24" s="0" t="s">
        <v>215</v>
      </c>
      <c r="C24" s="9" t="n">
        <f aca="false">G18</f>
        <v>50908</v>
      </c>
    </row>
    <row r="26" customFormat="false" ht="15" hidden="false" customHeight="false" outlineLevel="0" collapsed="false">
      <c r="A26" s="6" t="s">
        <v>216</v>
      </c>
      <c r="C26" s="10" t="n">
        <f aca="false">C23+C24</f>
        <v>108291.0712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7" t="s">
        <v>217</v>
      </c>
      <c r="B1" s="7"/>
      <c r="C1" s="7"/>
      <c r="D1" s="7"/>
      <c r="E1" s="7"/>
    </row>
    <row r="3" customFormat="false" ht="15" hidden="false" customHeight="false" outlineLevel="0" collapsed="false">
      <c r="A3" s="1" t="s">
        <v>74</v>
      </c>
      <c r="B3" s="1" t="s">
        <v>218</v>
      </c>
      <c r="C3" s="1" t="s">
        <v>168</v>
      </c>
      <c r="D3" s="1" t="s">
        <v>219</v>
      </c>
      <c r="E3" s="1" t="s">
        <v>220</v>
      </c>
    </row>
    <row r="4" customFormat="false" ht="15" hidden="false" customHeight="false" outlineLevel="0" collapsed="false">
      <c r="A4" s="0" t="s">
        <v>109</v>
      </c>
      <c r="B4" s="0" t="s">
        <v>221</v>
      </c>
      <c r="C4" s="0" t="s">
        <v>222</v>
      </c>
      <c r="D4" s="0" t="s">
        <v>23</v>
      </c>
      <c r="E4" s="9" t="n">
        <v>518.02</v>
      </c>
    </row>
    <row r="5" customFormat="false" ht="15" hidden="false" customHeight="false" outlineLevel="0" collapsed="false">
      <c r="A5" s="0" t="s">
        <v>109</v>
      </c>
      <c r="B5" s="0" t="s">
        <v>221</v>
      </c>
      <c r="C5" s="0" t="s">
        <v>223</v>
      </c>
      <c r="D5" s="0" t="s">
        <v>23</v>
      </c>
      <c r="E5" s="9" t="n">
        <v>123085.8</v>
      </c>
    </row>
    <row r="6" customFormat="false" ht="15" hidden="false" customHeight="false" outlineLevel="0" collapsed="false">
      <c r="A6" s="0" t="s">
        <v>109</v>
      </c>
      <c r="B6" s="0" t="s">
        <v>221</v>
      </c>
      <c r="C6" s="0" t="s">
        <v>224</v>
      </c>
      <c r="D6" s="0" t="s">
        <v>23</v>
      </c>
      <c r="E6" s="9" t="n">
        <v>4625.73</v>
      </c>
    </row>
    <row r="7" customFormat="false" ht="15" hidden="false" customHeight="false" outlineLevel="0" collapsed="false">
      <c r="A7" s="0" t="s">
        <v>109</v>
      </c>
      <c r="B7" s="0" t="s">
        <v>225</v>
      </c>
      <c r="C7" s="0" t="s">
        <v>226</v>
      </c>
      <c r="D7" s="0" t="s">
        <v>23</v>
      </c>
      <c r="E7" s="9" t="n">
        <v>585.91</v>
      </c>
    </row>
    <row r="8" customFormat="false" ht="15" hidden="false" customHeight="false" outlineLevel="0" collapsed="false">
      <c r="A8" s="0" t="s">
        <v>109</v>
      </c>
      <c r="B8" s="0" t="s">
        <v>225</v>
      </c>
      <c r="C8" s="0" t="s">
        <v>227</v>
      </c>
      <c r="D8" s="0" t="s">
        <v>23</v>
      </c>
      <c r="E8" s="9" t="n">
        <v>27.14</v>
      </c>
    </row>
    <row r="9" customFormat="false" ht="15" hidden="false" customHeight="false" outlineLevel="0" collapsed="false">
      <c r="A9" s="0" t="s">
        <v>228</v>
      </c>
      <c r="B9" s="0" t="s">
        <v>221</v>
      </c>
      <c r="C9" s="0" t="s">
        <v>229</v>
      </c>
      <c r="D9" s="0" t="s">
        <v>230</v>
      </c>
      <c r="E9" s="9" t="n">
        <v>1668.18</v>
      </c>
    </row>
    <row r="10" customFormat="false" ht="15" hidden="false" customHeight="false" outlineLevel="0" collapsed="false">
      <c r="A10" s="0" t="s">
        <v>231</v>
      </c>
      <c r="B10" s="0" t="s">
        <v>232</v>
      </c>
      <c r="C10" s="0" t="s">
        <v>233</v>
      </c>
      <c r="D10" s="0" t="s">
        <v>230</v>
      </c>
      <c r="E10" s="9" t="n">
        <v>526.83</v>
      </c>
    </row>
    <row r="11" customFormat="false" ht="15" hidden="false" customHeight="false" outlineLevel="0" collapsed="false">
      <c r="A11" s="0" t="s">
        <v>89</v>
      </c>
      <c r="B11" s="0" t="s">
        <v>234</v>
      </c>
      <c r="C11" s="0" t="s">
        <v>235</v>
      </c>
      <c r="D11" s="0" t="s">
        <v>23</v>
      </c>
      <c r="E11" s="9" t="n">
        <v>2967.34</v>
      </c>
    </row>
    <row r="12" customFormat="false" ht="15" hidden="false" customHeight="false" outlineLevel="0" collapsed="false">
      <c r="A12" s="0" t="s">
        <v>89</v>
      </c>
      <c r="B12" s="0" t="s">
        <v>234</v>
      </c>
      <c r="C12" s="0" t="s">
        <v>236</v>
      </c>
      <c r="D12" s="0" t="s">
        <v>23</v>
      </c>
      <c r="E12" s="9" t="n">
        <v>163.46</v>
      </c>
    </row>
    <row r="13" customFormat="false" ht="15" hidden="false" customHeight="false" outlineLevel="0" collapsed="false">
      <c r="A13" s="0" t="s">
        <v>89</v>
      </c>
      <c r="B13" s="0" t="s">
        <v>234</v>
      </c>
      <c r="C13" s="0" t="s">
        <v>237</v>
      </c>
      <c r="D13" s="0" t="s">
        <v>23</v>
      </c>
      <c r="E13" s="9" t="n">
        <v>1703.4</v>
      </c>
    </row>
    <row r="14" customFormat="false" ht="15" hidden="false" customHeight="false" outlineLevel="0" collapsed="false">
      <c r="A14" s="0" t="s">
        <v>89</v>
      </c>
      <c r="B14" s="0" t="s">
        <v>234</v>
      </c>
      <c r="C14" s="0" t="s">
        <v>238</v>
      </c>
      <c r="D14" s="0" t="s">
        <v>23</v>
      </c>
      <c r="E14" s="9" t="n">
        <v>2573.99</v>
      </c>
    </row>
    <row r="15" customFormat="false" ht="15" hidden="false" customHeight="false" outlineLevel="0" collapsed="false">
      <c r="A15" s="0" t="s">
        <v>89</v>
      </c>
      <c r="B15" s="0" t="s">
        <v>234</v>
      </c>
      <c r="C15" s="0" t="s">
        <v>239</v>
      </c>
      <c r="D15" s="0" t="s">
        <v>23</v>
      </c>
      <c r="E15" s="9" t="n">
        <v>1654.89</v>
      </c>
    </row>
    <row r="16" customFormat="false" ht="15" hidden="false" customHeight="false" outlineLevel="0" collapsed="false">
      <c r="A16" s="0" t="s">
        <v>89</v>
      </c>
      <c r="B16" s="0" t="s">
        <v>240</v>
      </c>
      <c r="C16" s="0" t="s">
        <v>241</v>
      </c>
      <c r="D16" s="0" t="s">
        <v>23</v>
      </c>
      <c r="E16" s="9" t="n">
        <v>1248.7</v>
      </c>
    </row>
    <row r="17" customFormat="false" ht="15" hidden="false" customHeight="false" outlineLevel="0" collapsed="false">
      <c r="A17" s="0" t="s">
        <v>89</v>
      </c>
      <c r="B17" s="0" t="s">
        <v>242</v>
      </c>
      <c r="C17" s="0" t="s">
        <v>243</v>
      </c>
      <c r="D17" s="0" t="s">
        <v>23</v>
      </c>
      <c r="E17" s="9" t="n">
        <v>15004.15</v>
      </c>
    </row>
    <row r="18" customFormat="false" ht="15" hidden="false" customHeight="false" outlineLevel="0" collapsed="false">
      <c r="A18" s="0" t="s">
        <v>89</v>
      </c>
      <c r="B18" s="0" t="s">
        <v>234</v>
      </c>
      <c r="C18" s="0" t="s">
        <v>244</v>
      </c>
      <c r="D18" s="0" t="s">
        <v>53</v>
      </c>
      <c r="E18" s="9" t="n">
        <v>5367.84</v>
      </c>
    </row>
    <row r="19" customFormat="false" ht="15" hidden="false" customHeight="false" outlineLevel="0" collapsed="false">
      <c r="A19" s="0" t="s">
        <v>89</v>
      </c>
      <c r="B19" s="0" t="s">
        <v>234</v>
      </c>
      <c r="C19" s="0" t="s">
        <v>245</v>
      </c>
      <c r="D19" s="0" t="s">
        <v>246</v>
      </c>
      <c r="E19" s="9" t="n">
        <v>868.29</v>
      </c>
    </row>
    <row r="20" customFormat="false" ht="15" hidden="false" customHeight="false" outlineLevel="0" collapsed="false">
      <c r="A20" s="0" t="s">
        <v>89</v>
      </c>
      <c r="B20" s="0" t="s">
        <v>234</v>
      </c>
      <c r="C20" s="0" t="s">
        <v>247</v>
      </c>
      <c r="D20" s="0" t="s">
        <v>248</v>
      </c>
      <c r="E20" s="9" t="n">
        <v>5161.12</v>
      </c>
    </row>
    <row r="21" customFormat="false" ht="15" hidden="false" customHeight="false" outlineLevel="0" collapsed="false">
      <c r="A21" s="0" t="s">
        <v>89</v>
      </c>
      <c r="B21" s="0" t="s">
        <v>234</v>
      </c>
      <c r="C21" s="0" t="s">
        <v>249</v>
      </c>
      <c r="D21" s="0" t="s">
        <v>248</v>
      </c>
      <c r="E21" s="9" t="n">
        <v>118.22</v>
      </c>
    </row>
    <row r="22" customFormat="false" ht="15" hidden="false" customHeight="false" outlineLevel="0" collapsed="false">
      <c r="A22" s="0" t="s">
        <v>89</v>
      </c>
      <c r="B22" s="0" t="s">
        <v>234</v>
      </c>
      <c r="C22" s="0" t="s">
        <v>250</v>
      </c>
      <c r="D22" s="0" t="s">
        <v>62</v>
      </c>
      <c r="E22" s="9" t="n">
        <v>905.97</v>
      </c>
    </row>
    <row r="23" customFormat="false" ht="15" hidden="false" customHeight="false" outlineLevel="0" collapsed="false">
      <c r="A23" s="0" t="s">
        <v>89</v>
      </c>
      <c r="B23" s="0" t="s">
        <v>234</v>
      </c>
      <c r="C23" s="0" t="s">
        <v>251</v>
      </c>
      <c r="D23" s="0" t="s">
        <v>181</v>
      </c>
      <c r="E23" s="9" t="n">
        <v>0.28</v>
      </c>
    </row>
    <row r="24" customFormat="false" ht="15" hidden="false" customHeight="false" outlineLevel="0" collapsed="false">
      <c r="A24" s="0" t="s">
        <v>177</v>
      </c>
      <c r="B24" s="0" t="s">
        <v>252</v>
      </c>
      <c r="C24" s="0" t="s">
        <v>253</v>
      </c>
      <c r="D24" s="0" t="s">
        <v>230</v>
      </c>
      <c r="E24" s="9" t="n">
        <v>5706.87</v>
      </c>
    </row>
    <row r="25" customFormat="false" ht="15" hidden="false" customHeight="false" outlineLevel="0" collapsed="false">
      <c r="A25" s="6" t="s">
        <v>254</v>
      </c>
      <c r="E25" s="10" t="n">
        <f aca="false">SUM(E4:E24)</f>
        <v>174482.13</v>
      </c>
    </row>
    <row r="28" customFormat="false" ht="15" hidden="false" customHeight="false" outlineLevel="0" collapsed="false">
      <c r="A28" s="8" t="s">
        <v>255</v>
      </c>
    </row>
    <row r="30" customFormat="false" ht="15" hidden="false" customHeight="false" outlineLevel="0" collapsed="false">
      <c r="A30" s="0" t="s">
        <v>256</v>
      </c>
      <c r="B30" s="0" t="s">
        <v>257</v>
      </c>
      <c r="E30" s="9" t="n">
        <v>39027.32</v>
      </c>
    </row>
    <row r="31" customFormat="false" ht="15" hidden="false" customHeight="false" outlineLevel="0" collapsed="false">
      <c r="A31" s="0" t="s">
        <v>258</v>
      </c>
      <c r="B31" s="0" t="s">
        <v>122</v>
      </c>
      <c r="E31" s="9" t="n">
        <v>10544.68</v>
      </c>
    </row>
    <row r="32" customFormat="false" ht="15" hidden="false" customHeight="false" outlineLevel="0" collapsed="false">
      <c r="A32" s="0" t="s">
        <v>258</v>
      </c>
      <c r="B32" s="0" t="s">
        <v>125</v>
      </c>
      <c r="E32" s="9" t="n">
        <v>10009.8</v>
      </c>
    </row>
    <row r="33" customFormat="false" ht="15" hidden="false" customHeight="false" outlineLevel="0" collapsed="false">
      <c r="A33" s="0" t="s">
        <v>258</v>
      </c>
      <c r="B33" s="0" t="s">
        <v>259</v>
      </c>
      <c r="E33" s="9" t="n">
        <v>27944.66</v>
      </c>
    </row>
    <row r="34" customFormat="false" ht="15" hidden="false" customHeight="false" outlineLevel="0" collapsed="false">
      <c r="A34" s="6" t="s">
        <v>260</v>
      </c>
      <c r="E34" s="9" t="n">
        <f aca="false">SUM(E30:E33)</f>
        <v>87526.46</v>
      </c>
    </row>
    <row r="37" customFormat="false" ht="15" hidden="false" customHeight="false" outlineLevel="0" collapsed="false">
      <c r="A37" s="11" t="s">
        <v>261</v>
      </c>
    </row>
    <row r="39" customFormat="false" ht="15" hidden="false" customHeight="false" outlineLevel="0" collapsed="false">
      <c r="A39" s="0" t="s">
        <v>262</v>
      </c>
      <c r="C39" s="0" t="n">
        <f aca="false">2_Darlehen!I26</f>
        <v>12215.81</v>
      </c>
    </row>
    <row r="40" customFormat="false" ht="15" hidden="false" customHeight="false" outlineLevel="0" collapsed="false">
      <c r="A40" s="0" t="s">
        <v>263</v>
      </c>
      <c r="C40" s="0" t="n">
        <f aca="false">'3_PV-Anlagen'!K5</f>
        <v>3914.83</v>
      </c>
    </row>
    <row r="41" customFormat="false" ht="15" hidden="false" customHeight="false" outlineLevel="0" collapsed="false">
      <c r="A41" s="0" t="s">
        <v>264</v>
      </c>
      <c r="C41" s="0" t="n">
        <f aca="false">1_Immobilien!W19</f>
        <v>1707.48333333333</v>
      </c>
    </row>
    <row r="42" customFormat="false" ht="15" hidden="false" customHeight="false" outlineLevel="0" collapsed="false">
      <c r="A42" s="6" t="s">
        <v>265</v>
      </c>
      <c r="C42" s="12" t="n">
        <f aca="false">C39+C40+C41</f>
        <v>17838.1233333333</v>
      </c>
    </row>
    <row r="44" customFormat="false" ht="15" hidden="false" customHeight="false" outlineLevel="0" collapsed="false">
      <c r="A44" s="0" t="s">
        <v>266</v>
      </c>
      <c r="C44" s="0" t="n">
        <f aca="false">1_Immobilien!I19</f>
        <v>15011.87</v>
      </c>
    </row>
    <row r="45" customFormat="false" ht="15" hidden="false" customHeight="false" outlineLevel="0" collapsed="false">
      <c r="A45" s="0" t="s">
        <v>267</v>
      </c>
      <c r="C45" s="0" t="n">
        <f aca="false">'3_PV-Anlagen'!J5</f>
        <v>4100</v>
      </c>
    </row>
    <row r="46" customFormat="false" ht="15" hidden="false" customHeight="false" outlineLevel="0" collapsed="false">
      <c r="A46" s="6" t="s">
        <v>268</v>
      </c>
      <c r="C46" s="13" t="n">
        <f aca="false">C44+C45</f>
        <v>19111.87</v>
      </c>
    </row>
    <row r="48" customFormat="false" ht="15" hidden="false" customHeight="false" outlineLevel="0" collapsed="false">
      <c r="A48" s="14" t="s">
        <v>269</v>
      </c>
      <c r="C48" s="15" t="n">
        <f aca="false">C46-C42</f>
        <v>1273.74666666667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4"/>
    <col collapsed="false" customWidth="true" hidden="false" outlineLevel="0" max="9" min="9" style="0" width="20"/>
  </cols>
  <sheetData>
    <row r="1" customFormat="false" ht="17.35" hidden="false" customHeight="false" outlineLevel="0" collapsed="false">
      <c r="A1" s="7" t="s">
        <v>270</v>
      </c>
      <c r="B1" s="7"/>
      <c r="C1" s="7"/>
      <c r="D1" s="7"/>
      <c r="E1" s="7"/>
      <c r="F1" s="7"/>
      <c r="G1" s="7"/>
      <c r="H1" s="7"/>
    </row>
    <row r="3" customFormat="false" ht="23.85" hidden="false" customHeight="false" outlineLevel="0" collapsed="false">
      <c r="A3" s="1" t="s">
        <v>73</v>
      </c>
      <c r="B3" s="1" t="s">
        <v>271</v>
      </c>
      <c r="C3" s="1" t="s">
        <v>81</v>
      </c>
      <c r="D3" s="1" t="s">
        <v>272</v>
      </c>
      <c r="E3" s="1" t="s">
        <v>273</v>
      </c>
      <c r="F3" s="1" t="s">
        <v>274</v>
      </c>
      <c r="G3" s="1" t="s">
        <v>275</v>
      </c>
      <c r="H3" s="1" t="s">
        <v>276</v>
      </c>
      <c r="I3" s="1" t="s">
        <v>277</v>
      </c>
    </row>
    <row r="4" customFormat="false" ht="15" hidden="false" customHeight="false" outlineLevel="0" collapsed="false">
      <c r="A4" s="0" t="s">
        <v>278</v>
      </c>
      <c r="B4" s="9" t="n">
        <v>87007.64</v>
      </c>
      <c r="C4" s="3" t="s">
        <v>92</v>
      </c>
      <c r="D4" s="2" t="n">
        <v>0.0195</v>
      </c>
      <c r="E4" s="0" t="n">
        <v>400</v>
      </c>
      <c r="F4" s="16" t="n">
        <f aca="false">PMT(0.03/12,120,-B4)</f>
        <v>840.152251284938</v>
      </c>
      <c r="G4" s="16" t="n">
        <f aca="false">PMT(0.04/12,120,-B4)</f>
        <v>880.910053320027</v>
      </c>
      <c r="H4" s="16" t="n">
        <f aca="false">PMT(0.05/12,120,-B4)</f>
        <v>922.851016633597</v>
      </c>
      <c r="I4" s="9" t="n">
        <f aca="false">(G4-E4)*12</f>
        <v>5770.92063984032</v>
      </c>
    </row>
    <row r="5" customFormat="false" ht="15" hidden="false" customHeight="false" outlineLevel="0" collapsed="false">
      <c r="A5" s="0" t="s">
        <v>279</v>
      </c>
      <c r="B5" s="9" t="n">
        <v>17093.18</v>
      </c>
      <c r="C5" s="3" t="s">
        <v>120</v>
      </c>
      <c r="D5" s="2" t="n">
        <v>0.0225</v>
      </c>
      <c r="E5" s="0" t="n">
        <v>137.9</v>
      </c>
      <c r="F5" s="16" t="n">
        <f aca="false">PMT(0.03/12,120,-B5)</f>
        <v>165.053019006362</v>
      </c>
      <c r="G5" s="16" t="n">
        <f aca="false">PMT(0.04/12,120,-B5)</f>
        <v>173.060137077719</v>
      </c>
      <c r="H5" s="16" t="n">
        <f aca="false">PMT(0.05/12,120,-B5)</f>
        <v>181.299694377426</v>
      </c>
      <c r="I5" s="9" t="n">
        <f aca="false">(G5-E5)*12</f>
        <v>421.921644932627</v>
      </c>
    </row>
    <row r="6" customFormat="false" ht="15" hidden="false" customHeight="false" outlineLevel="0" collapsed="false">
      <c r="A6" s="0" t="s">
        <v>280</v>
      </c>
      <c r="B6" s="9" t="n">
        <v>29955</v>
      </c>
      <c r="C6" s="3" t="s">
        <v>120</v>
      </c>
      <c r="D6" s="2" t="n">
        <v>0.0225</v>
      </c>
      <c r="E6" s="0" t="n">
        <v>145</v>
      </c>
      <c r="F6" s="16" t="n">
        <f aca="false">PMT(0.03/12,120,-B6)</f>
        <v>289.247710744026</v>
      </c>
      <c r="G6" s="16" t="n">
        <f aca="false">PMT(0.04/12,120,-B6)</f>
        <v>303.279811372903</v>
      </c>
      <c r="H6" s="16" t="n">
        <f aca="false">PMT(0.05/12,120,-B6)</f>
        <v>317.71925089865</v>
      </c>
      <c r="I6" s="9" t="n">
        <f aca="false">(G6-E6)*12</f>
        <v>1899.35773647483</v>
      </c>
    </row>
    <row r="7" customFormat="false" ht="15" hidden="false" customHeight="false" outlineLevel="0" collapsed="false">
      <c r="A7" s="0" t="s">
        <v>281</v>
      </c>
      <c r="B7" s="9" t="n">
        <v>19932.82</v>
      </c>
      <c r="C7" s="3" t="s">
        <v>120</v>
      </c>
      <c r="D7" s="2" t="n">
        <v>0.0225</v>
      </c>
      <c r="E7" s="0" t="n">
        <v>135</v>
      </c>
      <c r="F7" s="16" t="n">
        <f aca="false">PMT(0.03/12,120,-B7)</f>
        <v>192.472794313895</v>
      </c>
      <c r="G7" s="16" t="n">
        <f aca="false">PMT(0.04/12,120,-B7)</f>
        <v>201.810111491571</v>
      </c>
      <c r="H7" s="16" t="n">
        <f aca="false">PMT(0.05/12,120,-B7)</f>
        <v>211.418482346774</v>
      </c>
      <c r="I7" s="9" t="n">
        <f aca="false">(G7-E7)*12</f>
        <v>801.721337898856</v>
      </c>
    </row>
    <row r="8" customFormat="false" ht="15" hidden="false" customHeight="false" outlineLevel="0" collapsed="false">
      <c r="A8" s="0" t="s">
        <v>282</v>
      </c>
      <c r="B8" s="9" t="n">
        <v>29955</v>
      </c>
      <c r="C8" s="3" t="s">
        <v>120</v>
      </c>
      <c r="D8" s="2" t="n">
        <v>0.0225</v>
      </c>
      <c r="E8" s="0" t="n">
        <v>135</v>
      </c>
      <c r="F8" s="16" t="n">
        <f aca="false">PMT(0.03/12,120,-B8)</f>
        <v>289.247710744026</v>
      </c>
      <c r="G8" s="16" t="n">
        <f aca="false">PMT(0.04/12,120,-B8)</f>
        <v>303.279811372903</v>
      </c>
      <c r="H8" s="16" t="n">
        <f aca="false">PMT(0.05/12,120,-B8)</f>
        <v>317.71925089865</v>
      </c>
      <c r="I8" s="9" t="n">
        <f aca="false">(G8-E8)*12</f>
        <v>2019.35773647483</v>
      </c>
    </row>
    <row r="9" customFormat="false" ht="15" hidden="false" customHeight="false" outlineLevel="0" collapsed="false">
      <c r="A9" s="0" t="s">
        <v>283</v>
      </c>
      <c r="B9" s="9" t="n">
        <v>72225.55</v>
      </c>
      <c r="C9" s="3" t="s">
        <v>130</v>
      </c>
      <c r="D9" s="2" t="n">
        <v>0.0195</v>
      </c>
      <c r="E9" s="0" t="n">
        <v>465.3</v>
      </c>
      <c r="F9" s="16" t="n">
        <f aca="false">PMT(0.03/12,120,-B9)</f>
        <v>697.415289425077</v>
      </c>
      <c r="G9" s="16" t="n">
        <f aca="false">PMT(0.04/12,120,-B9)</f>
        <v>731.248578878456</v>
      </c>
      <c r="H9" s="16" t="n">
        <f aca="false">PMT(0.05/12,120,-B9)</f>
        <v>766.064017417559</v>
      </c>
      <c r="I9" s="9" t="n">
        <f aca="false">(G9-E9)*12</f>
        <v>3191.38294654147</v>
      </c>
    </row>
    <row r="10" customFormat="false" ht="15" hidden="false" customHeight="false" outlineLevel="0" collapsed="false">
      <c r="A10" s="0" t="s">
        <v>284</v>
      </c>
      <c r="B10" s="9" t="n">
        <v>132207</v>
      </c>
      <c r="C10" s="3" t="s">
        <v>103</v>
      </c>
      <c r="D10" s="2" t="n">
        <v>0.018</v>
      </c>
      <c r="E10" s="0" t="n">
        <v>805</v>
      </c>
      <c r="F10" s="16" t="n">
        <f aca="false">PMT(0.03/12,120,-B10)</f>
        <v>1276.600637434</v>
      </c>
      <c r="G10" s="16" t="n">
        <f aca="false">PMT(0.04/12,120,-B10)</f>
        <v>1338.53159813645</v>
      </c>
      <c r="H10" s="16" t="n">
        <f aca="false">PMT(0.05/12,120,-B10)</f>
        <v>1402.26035732124</v>
      </c>
      <c r="I10" s="9" t="n">
        <f aca="false">(G10-E10)*12</f>
        <v>6402.37917763739</v>
      </c>
    </row>
    <row r="11" customFormat="false" ht="15" hidden="false" customHeight="false" outlineLevel="0" collapsed="false">
      <c r="A11" s="0" t="s">
        <v>285</v>
      </c>
      <c r="B11" s="9" t="n">
        <v>59918.22</v>
      </c>
      <c r="C11" s="3" t="s">
        <v>106</v>
      </c>
      <c r="D11" s="2" t="n">
        <v>0.012</v>
      </c>
      <c r="E11" s="0" t="n">
        <v>880</v>
      </c>
      <c r="F11" s="16" t="n">
        <f aca="false">PMT(0.03/12,120,-B11)</f>
        <v>578.574794420194</v>
      </c>
      <c r="G11" s="16" t="n">
        <f aca="false">PMT(0.04/12,120,-B11)</f>
        <v>606.642846249377</v>
      </c>
      <c r="H11" s="16" t="n">
        <f aca="false">PMT(0.05/12,120,-B11)</f>
        <v>635.525687650826</v>
      </c>
      <c r="I11" s="9" t="n">
        <f aca="false">(G11-E11)*12</f>
        <v>-3280.28584500748</v>
      </c>
    </row>
    <row r="12" customFormat="false" ht="15" hidden="false" customHeight="false" outlineLevel="0" collapsed="false">
      <c r="A12" s="0" t="s">
        <v>286</v>
      </c>
      <c r="B12" s="9" t="n">
        <v>30288.59</v>
      </c>
      <c r="C12" s="3" t="s">
        <v>106</v>
      </c>
      <c r="D12" s="2" t="n">
        <v>0.012</v>
      </c>
      <c r="E12" s="0" t="n">
        <v>440</v>
      </c>
      <c r="F12" s="16" t="n">
        <f aca="false">PMT(0.03/12,120,-B12)</f>
        <v>292.468880626419</v>
      </c>
      <c r="G12" s="16" t="n">
        <f aca="false">PMT(0.04/12,120,-B12)</f>
        <v>306.657247936945</v>
      </c>
      <c r="H12" s="16" t="n">
        <f aca="false">PMT(0.05/12,120,-B12)</f>
        <v>321.25749042151</v>
      </c>
      <c r="I12" s="9" t="n">
        <f aca="false">(G12-E12)*12</f>
        <v>-1600.11302475666</v>
      </c>
    </row>
    <row r="13" customFormat="false" ht="15" hidden="false" customHeight="false" outlineLevel="0" collapsed="false">
      <c r="A13" s="0" t="s">
        <v>207</v>
      </c>
      <c r="B13" s="9" t="n">
        <v>247322.9</v>
      </c>
      <c r="C13" s="3" t="s">
        <v>146</v>
      </c>
      <c r="D13" s="2" t="n">
        <v>0.021</v>
      </c>
      <c r="E13" s="0" t="n">
        <v>1410</v>
      </c>
      <c r="F13" s="16" t="n">
        <f aca="false">PMT(0.03/12,120,-B13)</f>
        <v>2388.16834049653</v>
      </c>
      <c r="G13" s="16" t="n">
        <f aca="false">PMT(0.04/12,120,-B13)</f>
        <v>2504.02411818392</v>
      </c>
      <c r="H13" s="16" t="n">
        <f aca="false">PMT(0.05/12,120,-B13)</f>
        <v>2623.24308189223</v>
      </c>
      <c r="I13" s="9" t="n">
        <f aca="false">(G13-E13)*12</f>
        <v>13128.289418207</v>
      </c>
    </row>
    <row r="14" customFormat="false" ht="15" hidden="false" customHeight="false" outlineLevel="0" collapsed="false">
      <c r="A14" s="0" t="s">
        <v>208</v>
      </c>
      <c r="B14" s="9" t="n">
        <v>148027.53</v>
      </c>
      <c r="C14" s="3" t="s">
        <v>146</v>
      </c>
      <c r="D14" s="2" t="n">
        <v>0.021</v>
      </c>
      <c r="E14" s="0" t="n">
        <v>850</v>
      </c>
      <c r="F14" s="16" t="n">
        <f aca="false">PMT(0.03/12,120,-B14)</f>
        <v>1429.36485326632</v>
      </c>
      <c r="G14" s="16" t="n">
        <f aca="false">PMT(0.04/12,120,-B14)</f>
        <v>1498.70677270561</v>
      </c>
      <c r="H14" s="16" t="n">
        <f aca="false">PMT(0.05/12,120,-B14)</f>
        <v>1570.06162390177</v>
      </c>
      <c r="I14" s="9" t="n">
        <f aca="false">(G14-E14)*12</f>
        <v>7784.48127246737</v>
      </c>
    </row>
    <row r="15" customFormat="false" ht="15" hidden="false" customHeight="false" outlineLevel="0" collapsed="false">
      <c r="A15" s="0" t="s">
        <v>196</v>
      </c>
      <c r="B15" s="9" t="n">
        <v>33406.63</v>
      </c>
      <c r="C15" s="3" t="s">
        <v>142</v>
      </c>
      <c r="D15" s="2" t="n">
        <v>0.019</v>
      </c>
      <c r="E15" s="0" t="n">
        <v>95</v>
      </c>
      <c r="F15" s="16" t="n">
        <f aca="false">PMT(0.03/12,120,-B15)</f>
        <v>322.576907066356</v>
      </c>
      <c r="G15" s="16" t="n">
        <f aca="false">PMT(0.04/12,120,-B15)</f>
        <v>338.225886997308</v>
      </c>
      <c r="H15" s="16" t="n">
        <f aca="false">PMT(0.05/12,120,-B15)</f>
        <v>354.329142335115</v>
      </c>
      <c r="I15" s="9" t="n">
        <f aca="false">(G15-E15)*12</f>
        <v>2918.71064396769</v>
      </c>
    </row>
    <row r="16" customFormat="false" ht="15" hidden="false" customHeight="false" outlineLevel="0" collapsed="false">
      <c r="A16" s="0" t="s">
        <v>287</v>
      </c>
      <c r="B16" s="9" t="n">
        <v>122967</v>
      </c>
      <c r="C16" s="3" t="s">
        <v>152</v>
      </c>
      <c r="D16" s="2" t="n">
        <v>0.0198</v>
      </c>
      <c r="E16" s="0" t="n">
        <v>522.5</v>
      </c>
      <c r="F16" s="16" t="n">
        <f aca="false">PMT(0.03/12,120,-B16)</f>
        <v>1187.37850933269</v>
      </c>
      <c r="G16" s="16" t="n">
        <f aca="false">PMT(0.04/12,120,-B16)</f>
        <v>1244.9810904721</v>
      </c>
      <c r="H16" s="16" t="n">
        <f aca="false">PMT(0.05/12,120,-B16)</f>
        <v>1304.25582124034</v>
      </c>
      <c r="I16" s="9" t="n">
        <f aca="false">(G16-E16)*12</f>
        <v>8669.77308566518</v>
      </c>
    </row>
    <row r="17" customFormat="false" ht="15" hidden="false" customHeight="false" outlineLevel="0" collapsed="false">
      <c r="A17" s="6" t="s">
        <v>212</v>
      </c>
      <c r="B17" s="3" t="n">
        <f aca="false">SUM(B4:B16)</f>
        <v>1030307.06</v>
      </c>
      <c r="E17" s="3" t="n">
        <f aca="false">SUM(E4:E16)</f>
        <v>6420.7</v>
      </c>
      <c r="F17" s="16" t="n">
        <f aca="false">SUM(F4:F16)</f>
        <v>9948.72169816083</v>
      </c>
      <c r="G17" s="16" t="n">
        <f aca="false">SUM(G4:G16)</f>
        <v>10431.3580641953</v>
      </c>
      <c r="H17" s="16" t="n">
        <f aca="false">SUM(H4:H16)</f>
        <v>10928.0049173357</v>
      </c>
      <c r="I17" s="12" t="n">
        <f aca="false">SUM(I4:I16)</f>
        <v>48127.8967703434</v>
      </c>
    </row>
    <row r="20" customFormat="false" ht="15" hidden="false" customHeight="false" outlineLevel="0" collapsed="false">
      <c r="A20" s="11" t="s">
        <v>288</v>
      </c>
    </row>
    <row r="22" customFormat="false" ht="15" hidden="false" customHeight="false" outlineLevel="0" collapsed="false">
      <c r="A22" s="0" t="s">
        <v>289</v>
      </c>
      <c r="C22" s="9" t="n">
        <f aca="false">B17</f>
        <v>1030307.06</v>
      </c>
    </row>
    <row r="23" customFormat="false" ht="15" hidden="false" customHeight="false" outlineLevel="0" collapsed="false">
      <c r="A23" s="0" t="s">
        <v>290</v>
      </c>
      <c r="C23" s="9" t="n">
        <f aca="false">E17</f>
        <v>6420.7</v>
      </c>
    </row>
    <row r="24" customFormat="false" ht="15" hidden="false" customHeight="false" outlineLevel="0" collapsed="false">
      <c r="A24" s="0" t="s">
        <v>291</v>
      </c>
      <c r="C24" s="9" t="n">
        <f aca="false">G17</f>
        <v>10431.3580641953</v>
      </c>
    </row>
    <row r="25" customFormat="false" ht="15" hidden="false" customHeight="false" outlineLevel="0" collapsed="false">
      <c r="A25" s="12" t="s">
        <v>292</v>
      </c>
      <c r="C25" s="17" t="n">
        <f aca="false">I17</f>
        <v>48127.8967703434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12"/>
  </cols>
  <sheetData>
    <row r="1" customFormat="false" ht="17.35" hidden="false" customHeight="false" outlineLevel="0" collapsed="false">
      <c r="A1" s="7" t="s">
        <v>293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3" customFormat="false" ht="15" hidden="false" customHeight="false" outlineLevel="0" collapsed="false">
      <c r="A3" s="1" t="s">
        <v>294</v>
      </c>
      <c r="B3" s="1" t="s">
        <v>295</v>
      </c>
      <c r="C3" s="1" t="s">
        <v>296</v>
      </c>
      <c r="D3" s="1" t="s">
        <v>297</v>
      </c>
      <c r="E3" s="1" t="s">
        <v>298</v>
      </c>
      <c r="F3" s="1" t="s">
        <v>299</v>
      </c>
      <c r="G3" s="1" t="s">
        <v>300</v>
      </c>
      <c r="H3" s="1" t="s">
        <v>301</v>
      </c>
      <c r="I3" s="1" t="s">
        <v>302</v>
      </c>
      <c r="J3" s="1" t="s">
        <v>303</v>
      </c>
      <c r="K3" s="1" t="s">
        <v>304</v>
      </c>
      <c r="L3" s="1" t="s">
        <v>305</v>
      </c>
    </row>
    <row r="4" customFormat="false" ht="15" hidden="false" customHeight="false" outlineLevel="0" collapsed="false">
      <c r="A4" s="0" t="s">
        <v>306</v>
      </c>
      <c r="B4" s="18" t="n">
        <v>2150000</v>
      </c>
      <c r="C4" s="18" t="n">
        <v>2065000</v>
      </c>
      <c r="D4" s="18" t="n">
        <v>1980000</v>
      </c>
      <c r="E4" s="18" t="n">
        <v>1895000</v>
      </c>
      <c r="F4" s="18" t="n">
        <v>1810000</v>
      </c>
      <c r="G4" s="18" t="n">
        <v>1725000</v>
      </c>
      <c r="H4" s="18" t="n">
        <v>1640000</v>
      </c>
      <c r="I4" s="18" t="n">
        <v>1555000</v>
      </c>
      <c r="J4" s="18" t="n">
        <v>1470000</v>
      </c>
      <c r="K4" s="18" t="n">
        <v>1385000</v>
      </c>
      <c r="L4" s="18" t="n">
        <v>1300000</v>
      </c>
    </row>
    <row r="5" customFormat="false" ht="15" hidden="false" customHeight="false" outlineLevel="0" collapsed="false">
      <c r="A5" s="0" t="s">
        <v>307</v>
      </c>
      <c r="B5" s="18" t="n">
        <v>830000</v>
      </c>
      <c r="C5" s="18" t="n">
        <v>785000</v>
      </c>
      <c r="D5" s="18" t="n">
        <v>740000</v>
      </c>
      <c r="E5" s="18" t="n">
        <v>695000</v>
      </c>
      <c r="F5" s="18" t="n">
        <v>650000</v>
      </c>
      <c r="G5" s="18" t="n">
        <v>605000</v>
      </c>
      <c r="H5" s="18" t="n">
        <v>560000</v>
      </c>
      <c r="I5" s="18" t="n">
        <v>515000</v>
      </c>
      <c r="J5" s="18" t="n">
        <v>470000</v>
      </c>
      <c r="K5" s="18" t="n">
        <v>425000</v>
      </c>
      <c r="L5" s="18" t="n">
        <v>380000</v>
      </c>
    </row>
    <row r="6" customFormat="false" ht="15" hidden="false" customHeight="false" outlineLevel="0" collapsed="false">
      <c r="A6" s="6" t="s">
        <v>308</v>
      </c>
      <c r="B6" s="19" t="n">
        <f aca="false">B4+B5</f>
        <v>2980000</v>
      </c>
      <c r="C6" s="19" t="n">
        <f aca="false">C4+C5</f>
        <v>2850000</v>
      </c>
      <c r="D6" s="19" t="n">
        <f aca="false">D4+D5</f>
        <v>2720000</v>
      </c>
      <c r="E6" s="19" t="n">
        <f aca="false">E4+E5</f>
        <v>2590000</v>
      </c>
      <c r="F6" s="19" t="n">
        <f aca="false">F4+F5</f>
        <v>2460000</v>
      </c>
      <c r="G6" s="19" t="n">
        <f aca="false">G4+G5</f>
        <v>2330000</v>
      </c>
      <c r="H6" s="19" t="n">
        <f aca="false">H4+H5</f>
        <v>2200000</v>
      </c>
      <c r="I6" s="19" t="n">
        <f aca="false">I4+I5</f>
        <v>2070000</v>
      </c>
      <c r="J6" s="19" t="n">
        <f aca="false">J4+J5</f>
        <v>1940000</v>
      </c>
      <c r="K6" s="19" t="n">
        <f aca="false">K4+K5</f>
        <v>1810000</v>
      </c>
      <c r="L6" s="19" t="n">
        <f aca="false">L4+L5</f>
        <v>1680000</v>
      </c>
    </row>
    <row r="7" customFormat="false" ht="15" hidden="false" customHeight="false" outlineLevel="0" collapsed="false">
      <c r="A7" s="20" t="s">
        <v>309</v>
      </c>
      <c r="B7" s="21" t="n">
        <f aca="false">5500000-B6</f>
        <v>2520000</v>
      </c>
      <c r="C7" s="21" t="n">
        <f aca="false">5500000-C6</f>
        <v>2650000</v>
      </c>
      <c r="D7" s="21" t="n">
        <f aca="false">5500000-D6</f>
        <v>2780000</v>
      </c>
      <c r="E7" s="21" t="n">
        <f aca="false">5500000-E6</f>
        <v>2910000</v>
      </c>
      <c r="F7" s="21" t="n">
        <f aca="false">5500000-F6</f>
        <v>3040000</v>
      </c>
      <c r="G7" s="21" t="n">
        <f aca="false">5500000-G6</f>
        <v>3170000</v>
      </c>
      <c r="H7" s="21" t="n">
        <f aca="false">5500000-H6</f>
        <v>3300000</v>
      </c>
      <c r="I7" s="21" t="n">
        <f aca="false">5500000-I6</f>
        <v>3430000</v>
      </c>
      <c r="J7" s="21" t="n">
        <f aca="false">5500000-J6</f>
        <v>3560000</v>
      </c>
      <c r="K7" s="21" t="n">
        <f aca="false">5500000-K6</f>
        <v>3690000</v>
      </c>
      <c r="L7" s="21" t="n">
        <f aca="false">5500000-L6</f>
        <v>3820000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7" min="5" style="0" width="14"/>
  </cols>
  <sheetData>
    <row r="1" customFormat="false" ht="17.35" hidden="false" customHeight="false" outlineLevel="0" collapsed="false">
      <c r="A1" s="7" t="s">
        <v>310</v>
      </c>
      <c r="B1" s="7"/>
      <c r="C1" s="7"/>
      <c r="D1" s="7"/>
      <c r="E1" s="7"/>
      <c r="F1" s="7"/>
    </row>
    <row r="3" customFormat="false" ht="23.85" hidden="false" customHeight="false" outlineLevel="0" collapsed="false">
      <c r="A3" s="1" t="s">
        <v>311</v>
      </c>
      <c r="B3" s="1" t="s">
        <v>312</v>
      </c>
      <c r="C3" s="1" t="s">
        <v>313</v>
      </c>
      <c r="D3" s="1" t="s">
        <v>314</v>
      </c>
      <c r="E3" s="1" t="s">
        <v>315</v>
      </c>
      <c r="F3" s="1" t="s">
        <v>316</v>
      </c>
      <c r="G3" s="1" t="s">
        <v>317</v>
      </c>
    </row>
    <row r="4" customFormat="false" ht="15" hidden="false" customHeight="false" outlineLevel="0" collapsed="false">
      <c r="A4" s="0" t="s">
        <v>318</v>
      </c>
      <c r="B4" s="0" t="s">
        <v>122</v>
      </c>
      <c r="C4" s="0" t="s">
        <v>117</v>
      </c>
      <c r="D4" s="9" t="n">
        <v>10544.68</v>
      </c>
      <c r="E4" s="0" t="n">
        <v>145</v>
      </c>
      <c r="F4" s="9" t="n">
        <v>29955</v>
      </c>
      <c r="G4" s="2" t="n">
        <f aca="false">D4/F4</f>
        <v>0.352017359372392</v>
      </c>
    </row>
    <row r="5" customFormat="false" ht="15" hidden="false" customHeight="false" outlineLevel="0" collapsed="false">
      <c r="A5" s="0" t="s">
        <v>318</v>
      </c>
      <c r="B5" s="0" t="s">
        <v>125</v>
      </c>
      <c r="C5" s="0" t="s">
        <v>37</v>
      </c>
      <c r="D5" s="9" t="n">
        <v>10009.8</v>
      </c>
      <c r="E5" s="0" t="n">
        <v>135</v>
      </c>
      <c r="F5" s="9" t="n">
        <v>29955</v>
      </c>
      <c r="G5" s="2" t="n">
        <f aca="false">D5/F5</f>
        <v>0.334161241862794</v>
      </c>
    </row>
    <row r="6" customFormat="false" ht="15" hidden="false" customHeight="false" outlineLevel="0" collapsed="false">
      <c r="A6" s="0" t="s">
        <v>318</v>
      </c>
      <c r="B6" s="0" t="s">
        <v>259</v>
      </c>
      <c r="C6" s="0" t="s">
        <v>88</v>
      </c>
      <c r="D6" s="9" t="n">
        <v>27944.66</v>
      </c>
      <c r="E6" s="0" t="n">
        <v>386</v>
      </c>
      <c r="F6" s="9" t="n">
        <v>50000</v>
      </c>
      <c r="G6" s="2" t="n">
        <f aca="false">D6/F6</f>
        <v>0.5588932</v>
      </c>
    </row>
    <row r="7" customFormat="false" ht="15" hidden="false" customHeight="false" outlineLevel="0" collapsed="false">
      <c r="A7" s="0" t="s">
        <v>256</v>
      </c>
      <c r="B7" s="0" t="s">
        <v>257</v>
      </c>
      <c r="C7" s="0" t="s">
        <v>319</v>
      </c>
      <c r="D7" s="9" t="n">
        <v>39027.32</v>
      </c>
      <c r="E7" s="0" t="n">
        <v>250</v>
      </c>
      <c r="F7" s="9" t="n">
        <v>100000</v>
      </c>
      <c r="G7" s="2" t="n">
        <f aca="false">D7/F7</f>
        <v>0.3902732</v>
      </c>
    </row>
    <row r="8" customFormat="false" ht="15" hidden="false" customHeight="false" outlineLevel="0" collapsed="false">
      <c r="A8" s="0" t="s">
        <v>320</v>
      </c>
      <c r="B8" s="0" t="s">
        <v>321</v>
      </c>
      <c r="C8" s="0" t="s">
        <v>322</v>
      </c>
      <c r="D8" s="9" t="n">
        <v>158000</v>
      </c>
      <c r="E8" s="0" t="n">
        <v>650</v>
      </c>
      <c r="F8" s="9" t="n">
        <v>344000</v>
      </c>
      <c r="G8" s="2" t="n">
        <f aca="false">D8/F8</f>
        <v>0.459302325581395</v>
      </c>
    </row>
    <row r="9" customFormat="false" ht="15" hidden="false" customHeight="false" outlineLevel="0" collapsed="false">
      <c r="A9" s="6" t="s">
        <v>212</v>
      </c>
      <c r="D9" s="9" t="n">
        <f aca="false">SUM(D4:D8)</f>
        <v>245526.46</v>
      </c>
      <c r="E9" s="3" t="n">
        <f aca="false">SUM(E4:E8)</f>
        <v>1566</v>
      </c>
      <c r="F9" s="9" t="n">
        <f aca="false">SUM(F4:F8)</f>
        <v>553910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5"/>
    <col collapsed="false" customWidth="true" hidden="false" outlineLevel="0" max="3" min="3" style="0" width="18"/>
  </cols>
  <sheetData>
    <row r="1" customFormat="false" ht="22.05" hidden="false" customHeight="false" outlineLevel="0" collapsed="false">
      <c r="A1" s="22" t="s">
        <v>323</v>
      </c>
      <c r="B1" s="22"/>
      <c r="C1" s="22"/>
      <c r="D1" s="22"/>
    </row>
    <row r="2" customFormat="false" ht="15" hidden="false" customHeight="false" outlineLevel="0" collapsed="false">
      <c r="A2" s="0" t="s">
        <v>324</v>
      </c>
    </row>
    <row r="4" customFormat="false" ht="15" hidden="false" customHeight="false" outlineLevel="0" collapsed="false">
      <c r="A4" s="23" t="s">
        <v>325</v>
      </c>
      <c r="B4" s="23"/>
      <c r="C4" s="23"/>
    </row>
    <row r="6" customFormat="false" ht="15" hidden="false" customHeight="false" outlineLevel="0" collapsed="false">
      <c r="A6" s="0" t="s">
        <v>326</v>
      </c>
      <c r="C6" s="18" t="n">
        <f aca="false">1_Immobilien!K19</f>
        <v>4797667</v>
      </c>
    </row>
    <row r="7" customFormat="false" ht="15" hidden="false" customHeight="false" outlineLevel="0" collapsed="false">
      <c r="A7" s="0" t="s">
        <v>327</v>
      </c>
      <c r="C7" s="18" t="n">
        <f aca="false">'3_PV-Anlagen'!N5</f>
        <v>734000</v>
      </c>
    </row>
    <row r="8" customFormat="false" ht="15" hidden="false" customHeight="false" outlineLevel="0" collapsed="false">
      <c r="A8" s="0" t="s">
        <v>328</v>
      </c>
      <c r="C8" s="18" t="n">
        <f aca="false">6_Liquiditaet!E25</f>
        <v>174482.13</v>
      </c>
    </row>
    <row r="9" customFormat="false" ht="15" hidden="false" customHeight="false" outlineLevel="0" collapsed="false">
      <c r="A9" s="0" t="s">
        <v>329</v>
      </c>
      <c r="C9" s="18" t="n">
        <f aca="false">9_BSV_Tilgungsersatz!D9</f>
        <v>245526.46</v>
      </c>
    </row>
    <row r="10" customFormat="false" ht="15" hidden="false" customHeight="false" outlineLevel="0" collapsed="false">
      <c r="A10" s="14" t="s">
        <v>330</v>
      </c>
      <c r="C10" s="24" t="n">
        <f aca="false">C6+C7+C8+C9</f>
        <v>5951675.59</v>
      </c>
    </row>
    <row r="12" customFormat="false" ht="15" hidden="false" customHeight="false" outlineLevel="0" collapsed="false">
      <c r="A12" s="23" t="s">
        <v>331</v>
      </c>
      <c r="B12" s="23"/>
      <c r="C12" s="23"/>
    </row>
    <row r="14" customFormat="false" ht="15" hidden="false" customHeight="false" outlineLevel="0" collapsed="false">
      <c r="A14" s="0" t="s">
        <v>332</v>
      </c>
      <c r="C14" s="18" t="n">
        <f aca="false">2_Darlehen!H26</f>
        <v>2582952.165</v>
      </c>
    </row>
    <row r="15" customFormat="false" ht="15" hidden="false" customHeight="false" outlineLevel="0" collapsed="false">
      <c r="A15" s="0" t="s">
        <v>333</v>
      </c>
      <c r="C15" s="18" t="n">
        <f aca="false">'3_PV-Anlagen'!I5</f>
        <v>825882.73</v>
      </c>
    </row>
    <row r="16" customFormat="false" ht="15" hidden="false" customHeight="false" outlineLevel="0" collapsed="false">
      <c r="A16" s="14" t="s">
        <v>334</v>
      </c>
      <c r="C16" s="25" t="n">
        <f aca="false">C14+C15</f>
        <v>3408834.895</v>
      </c>
    </row>
    <row r="18" customFormat="false" ht="17.35" hidden="false" customHeight="false" outlineLevel="0" collapsed="false">
      <c r="A18" s="26" t="s">
        <v>335</v>
      </c>
      <c r="C18" s="27" t="n">
        <f aca="false">C10-C16</f>
        <v>2542840.695</v>
      </c>
    </row>
    <row r="20" customFormat="false" ht="15" hidden="false" customHeight="false" outlineLevel="0" collapsed="false">
      <c r="A20" s="23" t="s">
        <v>336</v>
      </c>
      <c r="B20" s="23"/>
      <c r="C20" s="23"/>
    </row>
    <row r="22" customFormat="false" ht="15" hidden="false" customHeight="false" outlineLevel="0" collapsed="false">
      <c r="A22" s="0" t="s">
        <v>337</v>
      </c>
      <c r="C22" s="2" t="n">
        <f aca="false">C16/(C6+C7)</f>
        <v>0.616240076454349</v>
      </c>
    </row>
    <row r="23" customFormat="false" ht="15" hidden="false" customHeight="false" outlineLevel="0" collapsed="false">
      <c r="A23" s="0" t="s">
        <v>338</v>
      </c>
      <c r="C23" s="2" t="n">
        <f aca="false">C18/C10</f>
        <v>0.4272478660081</v>
      </c>
    </row>
    <row r="24" customFormat="false" ht="15" hidden="false" customHeight="false" outlineLevel="0" collapsed="false">
      <c r="A24" s="0" t="s">
        <v>339</v>
      </c>
      <c r="C24" s="2" t="n">
        <f aca="false">1_Immobilien!R19</f>
        <v>0.0375479248559769</v>
      </c>
    </row>
    <row r="25" customFormat="false" ht="15" hidden="false" customHeight="false" outlineLevel="0" collapsed="false">
      <c r="A25" s="0" t="s">
        <v>340</v>
      </c>
      <c r="C25" s="0" t="n">
        <f aca="false">1_Immobilien!G19</f>
        <v>29.5</v>
      </c>
    </row>
    <row r="26" customFormat="false" ht="15" hidden="false" customHeight="false" outlineLevel="0" collapsed="false">
      <c r="A26" s="0" t="s">
        <v>341</v>
      </c>
      <c r="C26" s="28" t="n">
        <f aca="false">1_Immobilien!H19</f>
        <v>2048.98</v>
      </c>
    </row>
    <row r="27" customFormat="false" ht="15" hidden="false" customHeight="false" outlineLevel="0" collapsed="false">
      <c r="A27" s="0" t="s">
        <v>342</v>
      </c>
      <c r="C27" s="0" t="n">
        <f aca="false">'3_PV-Anlagen'!D5</f>
        <v>740</v>
      </c>
    </row>
    <row r="29" customFormat="false" ht="15" hidden="false" customHeight="false" outlineLevel="0" collapsed="false">
      <c r="A29" s="23" t="s">
        <v>343</v>
      </c>
      <c r="B29" s="23"/>
      <c r="C29" s="23"/>
    </row>
    <row r="31" customFormat="false" ht="15" hidden="false" customHeight="false" outlineLevel="0" collapsed="false">
      <c r="A31" s="0" t="s">
        <v>266</v>
      </c>
      <c r="C31" s="9" t="n">
        <f aca="false">1_Immobilien!I19</f>
        <v>15011.87</v>
      </c>
    </row>
    <row r="32" customFormat="false" ht="15" hidden="false" customHeight="false" outlineLevel="0" collapsed="false">
      <c r="A32" s="0" t="s">
        <v>267</v>
      </c>
      <c r="C32" s="9" t="n">
        <f aca="false">'3_PV-Anlagen'!J5</f>
        <v>4100</v>
      </c>
    </row>
    <row r="33" customFormat="false" ht="15" hidden="false" customHeight="false" outlineLevel="0" collapsed="false">
      <c r="A33" s="0" t="s">
        <v>344</v>
      </c>
      <c r="C33" s="9" t="n">
        <f aca="false">-2_Darlehen!I26</f>
        <v>-12215.81</v>
      </c>
    </row>
    <row r="34" customFormat="false" ht="15" hidden="false" customHeight="false" outlineLevel="0" collapsed="false">
      <c r="A34" s="0" t="s">
        <v>345</v>
      </c>
      <c r="C34" s="9" t="n">
        <f aca="false">-'3_PV-Anlagen'!K5</f>
        <v>-3914.83</v>
      </c>
    </row>
    <row r="35" customFormat="false" ht="15" hidden="false" customHeight="false" outlineLevel="0" collapsed="false">
      <c r="A35" s="0" t="s">
        <v>264</v>
      </c>
      <c r="C35" s="9" t="n">
        <f aca="false">-1_Immobilien!W19</f>
        <v>-1707.48333333333</v>
      </c>
    </row>
    <row r="36" customFormat="false" ht="15" hidden="false" customHeight="false" outlineLevel="0" collapsed="false">
      <c r="A36" s="14" t="s">
        <v>346</v>
      </c>
      <c r="C36" s="15" t="n">
        <f aca="false">C31+C32+C33+C34+C35</f>
        <v>1273.74666666667</v>
      </c>
    </row>
    <row r="37" customFormat="false" ht="15" hidden="false" customHeight="false" outlineLevel="0" collapsed="false">
      <c r="A37" s="14" t="s">
        <v>347</v>
      </c>
      <c r="C37" s="15" t="n">
        <f aca="false">C36*12</f>
        <v>15284.96</v>
      </c>
    </row>
    <row r="39" customFormat="false" ht="15" hidden="false" customHeight="false" outlineLevel="0" collapsed="false">
      <c r="A39" s="23" t="s">
        <v>348</v>
      </c>
      <c r="B39" s="23"/>
      <c r="C39" s="23"/>
    </row>
    <row r="41" customFormat="false" ht="15" hidden="false" customHeight="false" outlineLevel="0" collapsed="false">
      <c r="A41" s="0" t="s">
        <v>349</v>
      </c>
      <c r="C41" s="9" t="n">
        <f aca="false">5_AfA_Steuer!G18</f>
        <v>50908</v>
      </c>
    </row>
    <row r="42" customFormat="false" ht="15" hidden="false" customHeight="false" outlineLevel="0" collapsed="false">
      <c r="A42" s="0" t="s">
        <v>350</v>
      </c>
      <c r="C42" s="9" t="n">
        <f aca="false">5_AfA_Steuer!C22</f>
        <v>0</v>
      </c>
    </row>
    <row r="43" customFormat="false" ht="15" hidden="false" customHeight="false" outlineLevel="0" collapsed="false">
      <c r="A43" s="6" t="s">
        <v>351</v>
      </c>
      <c r="C43" s="10" t="n">
        <f aca="false">C41+C42</f>
        <v>50908</v>
      </c>
    </row>
    <row r="45" customFormat="false" ht="15" hidden="false" customHeight="false" outlineLevel="0" collapsed="false">
      <c r="A45" s="29" t="s">
        <v>352</v>
      </c>
      <c r="B45" s="29"/>
      <c r="C45" s="29"/>
    </row>
    <row r="47" customFormat="false" ht="15" hidden="false" customHeight="false" outlineLevel="0" collapsed="false">
      <c r="A47" s="0" t="s">
        <v>289</v>
      </c>
      <c r="C47" s="9" t="n">
        <f aca="false">7_Zinssensitivitaet!B17</f>
        <v>1030307.06</v>
      </c>
    </row>
    <row r="48" customFormat="false" ht="15" hidden="false" customHeight="false" outlineLevel="0" collapsed="false">
      <c r="A48" s="0" t="s">
        <v>353</v>
      </c>
      <c r="C48" s="30" t="n">
        <f aca="false">7_Zinssensitivitaet!I17</f>
        <v>48127.8967703434</v>
      </c>
    </row>
    <row r="49" customFormat="false" ht="15" hidden="false" customHeight="false" outlineLevel="0" collapsed="false">
      <c r="A49" s="0" t="s">
        <v>354</v>
      </c>
      <c r="C49" s="31" t="n">
        <f aca="false">1_Immobilien!V19</f>
        <v>2828.775</v>
      </c>
    </row>
    <row r="50" customFormat="false" ht="15" hidden="false" customHeight="false" outlineLevel="0" collapsed="false">
      <c r="A50" s="0" t="s">
        <v>355</v>
      </c>
      <c r="C50" s="0" t="s">
        <v>356</v>
      </c>
    </row>
  </sheetData>
  <mergeCells count="7">
    <mergeCell ref="A1:D1"/>
    <mergeCell ref="A4:C4"/>
    <mergeCell ref="A12:C12"/>
    <mergeCell ref="A20:C20"/>
    <mergeCell ref="A29:C29"/>
    <mergeCell ref="A39:C39"/>
    <mergeCell ref="A45:C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2026-01-22T20:30:58Z</dcterms:created>
  <dc:creator>openpyxl</dc:creator>
  <dc:description/>
  <dc:language>en-US</dc:language>
  <cp:lastModifiedBy/>
  <dcterms:modified xsi:type="dcterms:W3CDTF">2026-01-22T20:30:58Z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